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39317c9c5b4bfd/Documents/GitHub/BittyTax/src/bittytax/conv/"/>
    </mc:Choice>
  </mc:AlternateContent>
  <xr:revisionPtr revIDLastSave="28" documentId="11_B40D6D3868345B589AE84BE426B9AA253044720A" xr6:coauthVersionLast="47" xr6:coauthVersionMax="47" xr10:uidLastSave="{05352A21-D76E-454E-8D0B-6B654A7C9539}"/>
  <bookViews>
    <workbookView xWindow="-120" yWindow="-120" windowWidth="29040" windowHeight="15720" activeTab="1" xr2:uid="{00000000-000D-0000-FFFF-FFFF00000000}"/>
  </bookViews>
  <sheets>
    <sheet name="Deribi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2" l="1"/>
  <c r="G38" i="2"/>
  <c r="D38" i="2"/>
  <c r="B37" i="2"/>
  <c r="E26" i="2"/>
  <c r="B20" i="2"/>
  <c r="E19" i="2"/>
</calcChain>
</file>

<file path=xl/sharedStrings.xml><?xml version="1.0" encoding="utf-8"?>
<sst xmlns="http://schemas.openxmlformats.org/spreadsheetml/2006/main" count="917" uniqueCount="271">
  <si>
    <t>449422420</t>
  </si>
  <si>
    <t>1723044473090220</t>
  </si>
  <si>
    <t>07 Aug 2024 15:27:53</t>
  </si>
  <si>
    <t>ETH_USDC</t>
  </si>
  <si>
    <t>trade</t>
  </si>
  <si>
    <t>close sell</t>
  </si>
  <si>
    <t>1.4004</t>
  </si>
  <si>
    <t>0</t>
  </si>
  <si>
    <t>2394.5</t>
  </si>
  <si>
    <t>2393.3875</t>
  </si>
  <si>
    <t>-1.4004</t>
  </si>
  <si>
    <t>0.0</t>
  </si>
  <si>
    <t>4.352e-05</t>
  </si>
  <si>
    <t>0.06570808</t>
  </si>
  <si>
    <t>ETH_USDC-2993881</t>
  </si>
  <si>
    <t>ETH_USDC-1134277242</t>
  </si>
  <si>
    <t>Source: web</t>
  </si>
  <si>
    <t>Trade</t>
  </si>
  <si>
    <t>USDC</t>
  </si>
  <si>
    <t>ETH</t>
  </si>
  <si>
    <t>Deribit</t>
  </si>
  <si>
    <t>2024-08-07T15:27:53.091324</t>
  </si>
  <si>
    <t/>
  </si>
  <si>
    <t>39630196</t>
  </si>
  <si>
    <t>1723044473091324</t>
  </si>
  <si>
    <t>close buy</t>
  </si>
  <si>
    <t>3353.2578</t>
  </si>
  <si>
    <t>455695009</t>
  </si>
  <si>
    <t>1726501409580201</t>
  </si>
  <si>
    <t>16 Sept 2024 15:43:29</t>
  </si>
  <si>
    <t>2289.1</t>
  </si>
  <si>
    <t>2288.4394</t>
  </si>
  <si>
    <t>1.46610808</t>
  </si>
  <si>
    <t>ETH_USDC-3310829</t>
  </si>
  <si>
    <t>ETH_USDC-1311826506</t>
  </si>
  <si>
    <t>2024-09-16T15:43:29.580265</t>
  </si>
  <si>
    <t>42090000</t>
  </si>
  <si>
    <t>1726501409580265</t>
  </si>
  <si>
    <t>3205.65564</t>
  </si>
  <si>
    <t>-3205.65564</t>
  </si>
  <si>
    <t>147.60216</t>
  </si>
  <si>
    <t>2024-10-14T09:21:09.246186</t>
  </si>
  <si>
    <t>43747270</t>
  </si>
  <si>
    <t>1728897669246186</t>
  </si>
  <si>
    <t>14 Oct 2024 09:21:09</t>
  </si>
  <si>
    <t>1434.768</t>
  </si>
  <si>
    <t>2526.0</t>
  </si>
  <si>
    <t>2526.4718</t>
  </si>
  <si>
    <t>-61.6597061</t>
  </si>
  <si>
    <t>-0.69693675</t>
  </si>
  <si>
    <t>ETH_USDC-3536794</t>
  </si>
  <si>
    <t>ETH_USDC-1481868107</t>
  </si>
  <si>
    <t>459651443</t>
  </si>
  <si>
    <t>1728897669246191</t>
  </si>
  <si>
    <t>0.568</t>
  </si>
  <si>
    <t>-0.568</t>
  </si>
  <si>
    <t>1.3854823</t>
  </si>
  <si>
    <t>1.36563644</t>
  </si>
  <si>
    <t>2024-10-14T09:38:00.072188</t>
  </si>
  <si>
    <t>43748145</t>
  </si>
  <si>
    <t>1728898680072188</t>
  </si>
  <si>
    <t>14 Oct 2024 09:38:00</t>
  </si>
  <si>
    <t>1847.922</t>
  </si>
  <si>
    <t>2531.4</t>
  </si>
  <si>
    <t>2531.9441</t>
  </si>
  <si>
    <t>1785.5557419</t>
  </si>
  <si>
    <t>1807.69184449</t>
  </si>
  <si>
    <t>ETH_USDC-3536851</t>
  </si>
  <si>
    <t>ETH_USDC-1481985629</t>
  </si>
  <si>
    <t>459652583</t>
  </si>
  <si>
    <t>1728898680072732</t>
  </si>
  <si>
    <t>0.73</t>
  </si>
  <si>
    <t>-0.73</t>
  </si>
  <si>
    <t>0.6554823</t>
  </si>
  <si>
    <t>0.64822447</t>
  </si>
  <si>
    <t>2024-10-14T09:46:42.198188</t>
  </si>
  <si>
    <t>43748544</t>
  </si>
  <si>
    <t>1728899202198188</t>
  </si>
  <si>
    <t>14 Oct 2024 09:46:42</t>
  </si>
  <si>
    <t>1724.276</t>
  </si>
  <si>
    <t>2535.7</t>
  </si>
  <si>
    <t>2535.1659</t>
  </si>
  <si>
    <t>-1724.276</t>
  </si>
  <si>
    <t>61.2797419</t>
  </si>
  <si>
    <t>63.26671728</t>
  </si>
  <si>
    <t>ETH_USDC-3536885</t>
  </si>
  <si>
    <t>ETH_USDC-1482055091</t>
  </si>
  <si>
    <t>459653240</t>
  </si>
  <si>
    <t>1728899202198190</t>
  </si>
  <si>
    <t>0.68</t>
  </si>
  <si>
    <t>1.3354823</t>
  </si>
  <si>
    <t>1.33434645</t>
  </si>
  <si>
    <t>2024-10-14T09:49:29.194146</t>
  </si>
  <si>
    <t>43748661</t>
  </si>
  <si>
    <t>1728899369194146</t>
  </si>
  <si>
    <t>14 Oct 2024 09:49:29</t>
  </si>
  <si>
    <t>55.77</t>
  </si>
  <si>
    <t>2535.0</t>
  </si>
  <si>
    <t>2534.6002</t>
  </si>
  <si>
    <t>-55.77</t>
  </si>
  <si>
    <t>5.5097419</t>
  </si>
  <si>
    <t>11.90201165</t>
  </si>
  <si>
    <t>ETH_USDC-3536897</t>
  </si>
  <si>
    <t>ETH_USDC-1482079234</t>
  </si>
  <si>
    <t>459653603</t>
  </si>
  <si>
    <t>1728899369194151</t>
  </si>
  <si>
    <t>0.022</t>
  </si>
  <si>
    <t>1.3574823</t>
  </si>
  <si>
    <t>1.35535561</t>
  </si>
  <si>
    <t>2024-11-09T05:49:11.737891</t>
  </si>
  <si>
    <t>45950857</t>
  </si>
  <si>
    <t>1731131351737891</t>
  </si>
  <si>
    <t>09 Nov 2024 05:49:11</t>
  </si>
  <si>
    <t>liquidation buy</t>
  </si>
  <si>
    <t>1000.15201</t>
  </si>
  <si>
    <t>3040.9</t>
  </si>
  <si>
    <t>3040.4956</t>
  </si>
  <si>
    <t>-1620.39709109</t>
  </si>
  <si>
    <t>-2489.65281034</t>
  </si>
  <si>
    <t>ETH_USDC-3831542</t>
  </si>
  <si>
    <t>ETH_USDC-1735388745</t>
  </si>
  <si>
    <t>Source: autoliquidation</t>
  </si>
  <si>
    <t>463809369</t>
  </si>
  <si>
    <t>1731131351738027</t>
  </si>
  <si>
    <t>liquidation sell</t>
  </si>
  <si>
    <t>0.3289</t>
  </si>
  <si>
    <t>-0.3289</t>
  </si>
  <si>
    <t>1.75060704</t>
  </si>
  <si>
    <t>1.94997459</t>
  </si>
  <si>
    <t>2024-11-10T04:33:19.524852</t>
  </si>
  <si>
    <t>46034645</t>
  </si>
  <si>
    <t>1731213199524852</t>
  </si>
  <si>
    <t>10 Nov 2024 04:33:19</t>
  </si>
  <si>
    <t>0.6344</t>
  </si>
  <si>
    <t>3172.0</t>
  </si>
  <si>
    <t>3170.6998</t>
  </si>
  <si>
    <t>-2427.81738979</t>
  </si>
  <si>
    <t>-2413.01177178</t>
  </si>
  <si>
    <t>ETH_USDC-3842862</t>
  </si>
  <si>
    <t>ETH_USDC-1745113743</t>
  </si>
  <si>
    <t>464055434</t>
  </si>
  <si>
    <t>1731213199524882</t>
  </si>
  <si>
    <t>0.0002</t>
  </si>
  <si>
    <t>-0.0002</t>
  </si>
  <si>
    <t>1.93659544</t>
  </si>
  <si>
    <t>1.82799214</t>
  </si>
  <si>
    <t>464055437</t>
  </si>
  <si>
    <t>1731213199533868</t>
  </si>
  <si>
    <t>0.3152</t>
  </si>
  <si>
    <t>3170.7</t>
  </si>
  <si>
    <t>-0.3152</t>
  </si>
  <si>
    <t>1.62139544</t>
  </si>
  <si>
    <t>ETH_USDC-3842863</t>
  </si>
  <si>
    <t>2024-11-10T04:33:19.534392</t>
  </si>
  <si>
    <t>46034648</t>
  </si>
  <si>
    <t>1731213199534392</t>
  </si>
  <si>
    <t>999.40464</t>
  </si>
  <si>
    <t>-1428.41274979</t>
  </si>
  <si>
    <t>464691606</t>
  </si>
  <si>
    <t>1731342282439819</t>
  </si>
  <si>
    <t>11 Nov 2024 16:24:42</t>
  </si>
  <si>
    <t>0.3027</t>
  </si>
  <si>
    <t>3304.0</t>
  </si>
  <si>
    <t>3302.0202</t>
  </si>
  <si>
    <t>-0.3027</t>
  </si>
  <si>
    <t>1.47761425</t>
  </si>
  <si>
    <t>1.70607468</t>
  </si>
  <si>
    <t>ETH_USDC-3885735</t>
  </si>
  <si>
    <t>ETH_USDC-1760785586</t>
  </si>
  <si>
    <t>2024-11-11T16:24:42.439988</t>
  </si>
  <si>
    <t>46332401</t>
  </si>
  <si>
    <t>1731342282439988</t>
  </si>
  <si>
    <t>1000.1208</t>
  </si>
  <si>
    <t>-1178.38849468</t>
  </si>
  <si>
    <t>-2316.01942224</t>
  </si>
  <si>
    <t>2024-11-19T10:22:19.490598</t>
  </si>
  <si>
    <t>47809493</t>
  </si>
  <si>
    <t>1732011739490598</t>
  </si>
  <si>
    <t>19 Nov 2024 10:22:19</t>
  </si>
  <si>
    <t>903.988</t>
  </si>
  <si>
    <t>3117.2</t>
  </si>
  <si>
    <t>3118.2015</t>
  </si>
  <si>
    <t>-1001.32989819</t>
  </si>
  <si>
    <t>-996.28999874</t>
  </si>
  <si>
    <t>ETH_USDC-4068169</t>
  </si>
  <si>
    <t>ETH_USDC-1851235001</t>
  </si>
  <si>
    <t>467326834</t>
  </si>
  <si>
    <t>1732011739490606</t>
  </si>
  <si>
    <t>0.29</t>
  </si>
  <si>
    <t>-0.29</t>
  </si>
  <si>
    <t>1.38421097</t>
  </si>
  <si>
    <t>467326925</t>
  </si>
  <si>
    <t>1732011968434585</t>
  </si>
  <si>
    <t>19 Nov 2024 10:26:08</t>
  </si>
  <si>
    <t>3117.3</t>
  </si>
  <si>
    <t>3118.0426</t>
  </si>
  <si>
    <t>1.09421097</t>
  </si>
  <si>
    <t>ETH_USDC-4068178</t>
  </si>
  <si>
    <t>ETH_USDC-1851261407</t>
  </si>
  <si>
    <t>2024-11-19T10:26:08.434611</t>
  </si>
  <si>
    <t>47809670</t>
  </si>
  <si>
    <t>1732011968434611</t>
  </si>
  <si>
    <t>904.017</t>
  </si>
  <si>
    <t>-98.21743719</t>
  </si>
  <si>
    <t>-93.31031481</t>
  </si>
  <si>
    <t>467327331</t>
  </si>
  <si>
    <t>1732012105223618</t>
  </si>
  <si>
    <t>19 Nov 2024 10:28:25</t>
  </si>
  <si>
    <t>0.03</t>
  </si>
  <si>
    <t>3117.9</t>
  </si>
  <si>
    <t>3118.3711</t>
  </si>
  <si>
    <t>-0.03</t>
  </si>
  <si>
    <t>1.06421097</t>
  </si>
  <si>
    <t>ETH_USDC-4068199</t>
  </si>
  <si>
    <t>ETH_USDC-1851278731</t>
  </si>
  <si>
    <t>2024-11-19T10:28:25.223630</t>
  </si>
  <si>
    <t>47809763</t>
  </si>
  <si>
    <t>1732012105223630</t>
  </si>
  <si>
    <t>93.537</t>
  </si>
  <si>
    <t>-4.72722519</t>
  </si>
  <si>
    <t>-0.20130018</t>
  </si>
  <si>
    <t>Type</t>
  </si>
  <si>
    <t>Buy Quantity</t>
  </si>
  <si>
    <t>Buy Asset</t>
  </si>
  <si>
    <t>Buy Value in GBP</t>
  </si>
  <si>
    <t>Sell Quantity</t>
  </si>
  <si>
    <t>Sell Asset</t>
  </si>
  <si>
    <t>Sell Value in GBP</t>
  </si>
  <si>
    <t>Fee Quantity</t>
  </si>
  <si>
    <t>Fee Asset</t>
  </si>
  <si>
    <t>Fee Value in GBP</t>
  </si>
  <si>
    <t>Wallet</t>
  </si>
  <si>
    <t>Timestamp</t>
  </si>
  <si>
    <t>Note</t>
  </si>
  <si>
    <t>ID</t>
  </si>
  <si>
    <t>UserSeq</t>
  </si>
  <si>
    <t>Date</t>
  </si>
  <si>
    <t>Instrument</t>
  </si>
  <si>
    <t>Type2</t>
  </si>
  <si>
    <t>Side</t>
  </si>
  <si>
    <t>Amount</t>
  </si>
  <si>
    <t>Base Amount</t>
  </si>
  <si>
    <t>Position</t>
  </si>
  <si>
    <t>Price</t>
  </si>
  <si>
    <t>Mark Price</t>
  </si>
  <si>
    <t>Index Price</t>
  </si>
  <si>
    <t>Cash Flow</t>
  </si>
  <si>
    <t>Funding</t>
  </si>
  <si>
    <t>Fee Rate</t>
  </si>
  <si>
    <t>Fee Charged</t>
  </si>
  <si>
    <t>Fee Balance</t>
  </si>
  <si>
    <t>Change</t>
  </si>
  <si>
    <t>Balance</t>
  </si>
  <si>
    <t>Equity</t>
  </si>
  <si>
    <t>Trade ID</t>
  </si>
  <si>
    <t>Order ID</t>
  </si>
  <si>
    <t>Info</t>
  </si>
  <si>
    <t>Note2</t>
  </si>
  <si>
    <t>Margin-Loss</t>
  </si>
  <si>
    <t>2024-10-13T12:18:29.269200</t>
  </si>
  <si>
    <t>ETH_USDC-PERPETUAL</t>
  </si>
  <si>
    <t>Margin-Fee</t>
  </si>
  <si>
    <t>2024-10-14T09:29:31.674229</t>
  </si>
  <si>
    <t>Fee-Rebate</t>
  </si>
  <si>
    <t>2024-11-11T18:22:25.119236</t>
  </si>
  <si>
    <t>2024-11-11T18:22:25.119237</t>
  </si>
  <si>
    <t>2024-11-11T18:22:25.119238</t>
  </si>
  <si>
    <t>2024-11-11T18:22:25.119239</t>
  </si>
  <si>
    <t>2024-11-19T10:24:07.990688</t>
  </si>
  <si>
    <t>2024-11-19T10:25:31.721622</t>
  </si>
  <si>
    <t>2024-11-19T10:27:18.542700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</si>
</sst>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###########################"/>
    <numFmt numFmtId="165" formatCode="&quot;£&quot;#,##0.00"/>
    <numFmt numFmtId="167" formatCode="#,##0.00000"/>
    <numFmt numFmtId="168" formatCode="#,##0.0000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80808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2" fillId="4" borderId="2" xfId="0" applyFont="1" applyFill="1" applyBorder="1"/>
    <xf numFmtId="164" fontId="2" fillId="4" borderId="3" xfId="0" applyNumberFormat="1" applyFont="1" applyFill="1" applyBorder="1"/>
    <xf numFmtId="0" fontId="2" fillId="4" borderId="3" xfId="0" applyFont="1" applyFill="1" applyBorder="1"/>
    <xf numFmtId="165" fontId="2" fillId="4" borderId="3" xfId="0" applyNumberFormat="1" applyFont="1" applyFill="1" applyBorder="1"/>
    <xf numFmtId="0" fontId="2" fillId="4" borderId="3" xfId="0" applyFont="1" applyFill="1" applyBorder="1" applyAlignment="1">
      <alignment horizontal="right"/>
    </xf>
    <xf numFmtId="0" fontId="2" fillId="5" borderId="2" xfId="0" applyFont="1" applyFill="1" applyBorder="1"/>
    <xf numFmtId="164" fontId="2" fillId="5" borderId="3" xfId="0" applyNumberFormat="1" applyFont="1" applyFill="1" applyBorder="1"/>
    <xf numFmtId="0" fontId="2" fillId="5" borderId="3" xfId="0" applyFont="1" applyFill="1" applyBorder="1"/>
    <xf numFmtId="165" fontId="2" fillId="5" borderId="3" xfId="0" applyNumberFormat="1" applyFont="1" applyFill="1" applyBorder="1"/>
    <xf numFmtId="0" fontId="2" fillId="5" borderId="3" xfId="0" applyFont="1" applyFill="1" applyBorder="1" applyAlignment="1">
      <alignment horizontal="right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ribit" displayName="Deribit" ref="A1:AK27" totalsRowShown="0">
  <tableColumns count="37">
    <tableColumn id="1" xr3:uid="{00000000-0010-0000-0000-000001000000}" name="Type"/>
    <tableColumn id="2" xr3:uid="{00000000-0010-0000-0000-000002000000}" name="Buy Quantity"/>
    <tableColumn id="3" xr3:uid="{00000000-0010-0000-0000-000003000000}" name="Buy Asset"/>
    <tableColumn id="4" xr3:uid="{00000000-0010-0000-0000-000004000000}" name="Buy Value in GBP"/>
    <tableColumn id="5" xr3:uid="{00000000-0010-0000-0000-000005000000}" name="Sell Quantity"/>
    <tableColumn id="6" xr3:uid="{00000000-0010-0000-0000-000006000000}" name="Sell Asset"/>
    <tableColumn id="7" xr3:uid="{00000000-0010-0000-0000-000007000000}" name="Sell Value in GBP"/>
    <tableColumn id="8" xr3:uid="{00000000-0010-0000-0000-000008000000}" name="Fee Quantity"/>
    <tableColumn id="9" xr3:uid="{00000000-0010-0000-0000-000009000000}" name="Fee Asset"/>
    <tableColumn id="10" xr3:uid="{00000000-0010-0000-0000-00000A000000}" name="Fee Value in GBP"/>
    <tableColumn id="11" xr3:uid="{00000000-0010-0000-0000-00000B000000}" name="Wallet"/>
    <tableColumn id="12" xr3:uid="{00000000-0010-0000-0000-00000C000000}" name="Timestamp"/>
    <tableColumn id="13" xr3:uid="{00000000-0010-0000-0000-00000D000000}" name="Note"/>
    <tableColumn id="14" xr3:uid="{00000000-0010-0000-0000-00000E000000}" name="ID"/>
    <tableColumn id="15" xr3:uid="{00000000-0010-0000-0000-00000F000000}" name="UserSeq"/>
    <tableColumn id="16" xr3:uid="{00000000-0010-0000-0000-000010000000}" name="Date"/>
    <tableColumn id="17" xr3:uid="{00000000-0010-0000-0000-000011000000}" name="Instrument"/>
    <tableColumn id="18" xr3:uid="{00000000-0010-0000-0000-000012000000}" name="Type2"/>
    <tableColumn id="19" xr3:uid="{00000000-0010-0000-0000-000013000000}" name="Side"/>
    <tableColumn id="20" xr3:uid="{00000000-0010-0000-0000-000014000000}" name="Amount"/>
    <tableColumn id="21" xr3:uid="{00000000-0010-0000-0000-000015000000}" name="Base Amount"/>
    <tableColumn id="22" xr3:uid="{00000000-0010-0000-0000-000016000000}" name="Position"/>
    <tableColumn id="23" xr3:uid="{00000000-0010-0000-0000-000017000000}" name="Price"/>
    <tableColumn id="24" xr3:uid="{00000000-0010-0000-0000-000018000000}" name="Mark Price"/>
    <tableColumn id="25" xr3:uid="{00000000-0010-0000-0000-000019000000}" name="Index Price"/>
    <tableColumn id="26" xr3:uid="{00000000-0010-0000-0000-00001A000000}" name="Cash Flow"/>
    <tableColumn id="27" xr3:uid="{00000000-0010-0000-0000-00001B000000}" name="Funding"/>
    <tableColumn id="28" xr3:uid="{00000000-0010-0000-0000-00001C000000}" name="Fee Rate"/>
    <tableColumn id="29" xr3:uid="{00000000-0010-0000-0000-00001D000000}" name="Fee Charged"/>
    <tableColumn id="30" xr3:uid="{00000000-0010-0000-0000-00001E000000}" name="Fee Balance"/>
    <tableColumn id="31" xr3:uid="{00000000-0010-0000-0000-00001F000000}" name="Change"/>
    <tableColumn id="32" xr3:uid="{00000000-0010-0000-0000-000020000000}" name="Balance"/>
    <tableColumn id="33" xr3:uid="{00000000-0010-0000-0000-000021000000}" name="Equity"/>
    <tableColumn id="34" xr3:uid="{00000000-0010-0000-0000-000022000000}" name="Trade ID"/>
    <tableColumn id="35" xr3:uid="{00000000-0010-0000-0000-000023000000}" name="Order ID"/>
    <tableColumn id="36" xr3:uid="{00000000-0010-0000-0000-000024000000}" name="Info"/>
    <tableColumn id="37" xr3:uid="{00000000-0010-0000-0000-000025000000}" name="Note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"/>
  <sheetViews>
    <sheetView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M27" sqref="A3:M27"/>
    </sheetView>
  </sheetViews>
  <sheetFormatPr defaultRowHeight="15" x14ac:dyDescent="0.25"/>
  <cols>
    <col min="1" max="1" width="5.7109375" customWidth="1"/>
    <col min="2" max="2" width="12.7109375" customWidth="1"/>
    <col min="3" max="3" width="9.7109375" customWidth="1"/>
    <col min="4" max="4" width="16.7109375" customWidth="1"/>
    <col min="5" max="5" width="13.7109375" customWidth="1"/>
    <col min="6" max="6" width="10.7109375" customWidth="1"/>
    <col min="7" max="7" width="17.7109375" customWidth="1"/>
    <col min="8" max="8" width="12.7109375" customWidth="1"/>
    <col min="9" max="9" width="9.7109375" customWidth="1"/>
    <col min="10" max="10" width="16.7109375" customWidth="1"/>
    <col min="11" max="11" width="7.7109375" customWidth="1"/>
    <col min="12" max="12" width="26.7109375" customWidth="1"/>
    <col min="13" max="13" width="30.7109375" customWidth="1"/>
    <col min="14" max="14" width="9.7109375" customWidth="1"/>
    <col min="15" max="15" width="16.7109375" customWidth="1"/>
    <col min="16" max="16" width="21.7109375" customWidth="1"/>
    <col min="17" max="17" width="10.7109375" customWidth="1"/>
    <col min="18" max="18" width="5.7109375" customWidth="1"/>
    <col min="19" max="19" width="16.7109375" customWidth="1"/>
    <col min="20" max="20" width="10.7109375" customWidth="1"/>
    <col min="21" max="21" width="11.7109375" customWidth="1"/>
    <col min="22" max="22" width="8.7109375" customWidth="1"/>
    <col min="23" max="23" width="6.7109375" customWidth="1"/>
    <col min="24" max="24" width="10.7109375" customWidth="1"/>
    <col min="25" max="26" width="11.7109375" customWidth="1"/>
    <col min="27" max="27" width="7.7109375" customWidth="1"/>
    <col min="28" max="28" width="8.7109375" customWidth="1"/>
    <col min="29" max="31" width="11.7109375" customWidth="1"/>
    <col min="32" max="33" width="14.7109375" customWidth="1"/>
    <col min="34" max="34" width="16.7109375" customWidth="1"/>
    <col min="35" max="35" width="19.7109375" customWidth="1"/>
    <col min="36" max="36" width="23.7109375" customWidth="1"/>
    <col min="37" max="37" width="5.7109375" customWidth="1"/>
  </cols>
  <sheetData>
    <row r="1" spans="1:37" x14ac:dyDescent="0.25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2" t="s">
        <v>234</v>
      </c>
      <c r="O1" s="2" t="s">
        <v>235</v>
      </c>
      <c r="P1" s="2" t="s">
        <v>236</v>
      </c>
      <c r="Q1" s="2" t="s">
        <v>237</v>
      </c>
      <c r="R1" s="2" t="s">
        <v>238</v>
      </c>
      <c r="S1" s="2" t="s">
        <v>239</v>
      </c>
      <c r="T1" s="2" t="s">
        <v>240</v>
      </c>
      <c r="U1" s="2" t="s">
        <v>241</v>
      </c>
      <c r="V1" s="2" t="s">
        <v>242</v>
      </c>
      <c r="W1" s="2" t="s">
        <v>243</v>
      </c>
      <c r="X1" s="2" t="s">
        <v>244</v>
      </c>
      <c r="Y1" s="2" t="s">
        <v>245</v>
      </c>
      <c r="Z1" s="2" t="s">
        <v>246</v>
      </c>
      <c r="AA1" s="2" t="s">
        <v>247</v>
      </c>
      <c r="AB1" s="2" t="s">
        <v>248</v>
      </c>
      <c r="AC1" s="2" t="s">
        <v>249</v>
      </c>
      <c r="AD1" s="2" t="s">
        <v>250</v>
      </c>
      <c r="AE1" s="2" t="s">
        <v>251</v>
      </c>
      <c r="AF1" s="2" t="s">
        <v>252</v>
      </c>
      <c r="AG1" s="2" t="s">
        <v>253</v>
      </c>
      <c r="AH1" s="2" t="s">
        <v>254</v>
      </c>
      <c r="AI1" s="2" t="s">
        <v>255</v>
      </c>
      <c r="AJ1" s="2" t="s">
        <v>256</v>
      </c>
      <c r="AK1" s="2" t="s">
        <v>257</v>
      </c>
    </row>
    <row r="2" spans="1:37" s="3" customFormat="1" x14ac:dyDescent="0.25">
      <c r="N2" s="4" t="s">
        <v>0</v>
      </c>
      <c r="O2" s="4" t="s">
        <v>1</v>
      </c>
      <c r="P2" s="4" t="s">
        <v>2</v>
      </c>
      <c r="Q2" s="4" t="s">
        <v>3</v>
      </c>
      <c r="R2" s="4" t="s">
        <v>4</v>
      </c>
      <c r="S2" s="4" t="s">
        <v>5</v>
      </c>
      <c r="T2" s="4" t="s">
        <v>6</v>
      </c>
      <c r="U2" s="4"/>
      <c r="V2" s="4" t="s">
        <v>7</v>
      </c>
      <c r="W2" s="4" t="s">
        <v>8</v>
      </c>
      <c r="X2" s="4" t="s">
        <v>9</v>
      </c>
      <c r="Y2" s="4" t="s">
        <v>9</v>
      </c>
      <c r="Z2" s="4" t="s">
        <v>10</v>
      </c>
      <c r="AA2" s="4" t="s">
        <v>11</v>
      </c>
      <c r="AB2" s="4" t="s">
        <v>7</v>
      </c>
      <c r="AC2" s="4" t="s">
        <v>11</v>
      </c>
      <c r="AD2" s="4" t="s">
        <v>7</v>
      </c>
      <c r="AE2" s="4" t="s">
        <v>10</v>
      </c>
      <c r="AF2" s="4" t="s">
        <v>12</v>
      </c>
      <c r="AG2" s="4" t="s">
        <v>13</v>
      </c>
      <c r="AH2" s="4" t="s">
        <v>14</v>
      </c>
      <c r="AI2" s="4" t="s">
        <v>15</v>
      </c>
      <c r="AJ2" s="4" t="s">
        <v>16</v>
      </c>
      <c r="AK2" s="4"/>
    </row>
    <row r="3" spans="1:37" s="3" customFormat="1" x14ac:dyDescent="0.25">
      <c r="A3" s="3" t="s">
        <v>17</v>
      </c>
      <c r="B3" s="5">
        <v>3353.2577999999999</v>
      </c>
      <c r="C3" s="3" t="s">
        <v>18</v>
      </c>
      <c r="D3" s="6"/>
      <c r="E3" s="5">
        <v>1.4004000000000001</v>
      </c>
      <c r="F3" s="3" t="s">
        <v>19</v>
      </c>
      <c r="G3" s="6"/>
      <c r="H3" s="5">
        <v>0</v>
      </c>
      <c r="I3" s="3" t="s">
        <v>18</v>
      </c>
      <c r="J3" s="6"/>
      <c r="K3" s="3" t="s">
        <v>20</v>
      </c>
      <c r="L3" s="7" t="s">
        <v>21</v>
      </c>
      <c r="M3" s="3" t="s">
        <v>22</v>
      </c>
      <c r="N3" s="4" t="s">
        <v>23</v>
      </c>
      <c r="O3" s="4" t="s">
        <v>24</v>
      </c>
      <c r="P3" s="4" t="s">
        <v>2</v>
      </c>
      <c r="Q3" s="4" t="s">
        <v>3</v>
      </c>
      <c r="R3" s="4" t="s">
        <v>4</v>
      </c>
      <c r="S3" s="4" t="s">
        <v>25</v>
      </c>
      <c r="T3" s="4" t="s">
        <v>26</v>
      </c>
      <c r="U3" s="4"/>
      <c r="V3" s="4" t="s">
        <v>11</v>
      </c>
      <c r="W3" s="4" t="s">
        <v>8</v>
      </c>
      <c r="X3" s="4" t="s">
        <v>9</v>
      </c>
      <c r="Y3" s="4" t="s">
        <v>9</v>
      </c>
      <c r="Z3" s="4" t="s">
        <v>26</v>
      </c>
      <c r="AA3" s="4" t="s">
        <v>11</v>
      </c>
      <c r="AB3" s="4" t="s">
        <v>7</v>
      </c>
      <c r="AC3" s="4" t="s">
        <v>11</v>
      </c>
      <c r="AD3" s="4" t="s">
        <v>7</v>
      </c>
      <c r="AE3" s="4" t="s">
        <v>26</v>
      </c>
      <c r="AF3" s="4" t="s">
        <v>26</v>
      </c>
      <c r="AG3" s="4" t="s">
        <v>26</v>
      </c>
      <c r="AH3" s="4" t="s">
        <v>14</v>
      </c>
      <c r="AI3" s="4" t="s">
        <v>15</v>
      </c>
      <c r="AJ3" s="4" t="s">
        <v>16</v>
      </c>
      <c r="AK3" s="4"/>
    </row>
    <row r="4" spans="1:37" s="3" customFormat="1" x14ac:dyDescent="0.25">
      <c r="N4" s="4" t="s">
        <v>27</v>
      </c>
      <c r="O4" s="4" t="s">
        <v>28</v>
      </c>
      <c r="P4" s="4" t="s">
        <v>29</v>
      </c>
      <c r="Q4" s="4" t="s">
        <v>3</v>
      </c>
      <c r="R4" s="4" t="s">
        <v>4</v>
      </c>
      <c r="S4" s="4" t="s">
        <v>25</v>
      </c>
      <c r="T4" s="4" t="s">
        <v>6</v>
      </c>
      <c r="U4" s="4"/>
      <c r="V4" s="4" t="s">
        <v>7</v>
      </c>
      <c r="W4" s="4" t="s">
        <v>30</v>
      </c>
      <c r="X4" s="4" t="s">
        <v>31</v>
      </c>
      <c r="Y4" s="4" t="s">
        <v>31</v>
      </c>
      <c r="Z4" s="4" t="s">
        <v>6</v>
      </c>
      <c r="AA4" s="4" t="s">
        <v>11</v>
      </c>
      <c r="AB4" s="4" t="s">
        <v>7</v>
      </c>
      <c r="AC4" s="4" t="s">
        <v>11</v>
      </c>
      <c r="AD4" s="4" t="s">
        <v>7</v>
      </c>
      <c r="AE4" s="4" t="s">
        <v>6</v>
      </c>
      <c r="AF4" s="4" t="s">
        <v>32</v>
      </c>
      <c r="AG4" s="4" t="s">
        <v>32</v>
      </c>
      <c r="AH4" s="4" t="s">
        <v>33</v>
      </c>
      <c r="AI4" s="4" t="s">
        <v>34</v>
      </c>
      <c r="AJ4" s="4" t="s">
        <v>16</v>
      </c>
      <c r="AK4" s="4"/>
    </row>
    <row r="5" spans="1:37" s="3" customFormat="1" x14ac:dyDescent="0.25">
      <c r="A5" s="3" t="s">
        <v>17</v>
      </c>
      <c r="B5" s="5">
        <v>1.4004000000000001</v>
      </c>
      <c r="C5" s="3" t="s">
        <v>19</v>
      </c>
      <c r="D5" s="6"/>
      <c r="E5" s="5">
        <v>3205.6556399999999</v>
      </c>
      <c r="F5" s="3" t="s">
        <v>18</v>
      </c>
      <c r="G5" s="6"/>
      <c r="H5" s="5">
        <v>0</v>
      </c>
      <c r="I5" s="3" t="s">
        <v>18</v>
      </c>
      <c r="J5" s="6"/>
      <c r="K5" s="3" t="s">
        <v>20</v>
      </c>
      <c r="L5" s="7" t="s">
        <v>35</v>
      </c>
      <c r="M5" s="3" t="s">
        <v>22</v>
      </c>
      <c r="N5" s="4" t="s">
        <v>36</v>
      </c>
      <c r="O5" s="4" t="s">
        <v>37</v>
      </c>
      <c r="P5" s="4" t="s">
        <v>29</v>
      </c>
      <c r="Q5" s="4" t="s">
        <v>3</v>
      </c>
      <c r="R5" s="4" t="s">
        <v>4</v>
      </c>
      <c r="S5" s="4" t="s">
        <v>5</v>
      </c>
      <c r="T5" s="4" t="s">
        <v>38</v>
      </c>
      <c r="U5" s="4"/>
      <c r="V5" s="4" t="s">
        <v>11</v>
      </c>
      <c r="W5" s="4" t="s">
        <v>30</v>
      </c>
      <c r="X5" s="4" t="s">
        <v>31</v>
      </c>
      <c r="Y5" s="4" t="s">
        <v>31</v>
      </c>
      <c r="Z5" s="4" t="s">
        <v>39</v>
      </c>
      <c r="AA5" s="4" t="s">
        <v>11</v>
      </c>
      <c r="AB5" s="4" t="s">
        <v>7</v>
      </c>
      <c r="AC5" s="4" t="s">
        <v>11</v>
      </c>
      <c r="AD5" s="4" t="s">
        <v>7</v>
      </c>
      <c r="AE5" s="4" t="s">
        <v>39</v>
      </c>
      <c r="AF5" s="4" t="s">
        <v>40</v>
      </c>
      <c r="AG5" s="4" t="s">
        <v>40</v>
      </c>
      <c r="AH5" s="4" t="s">
        <v>33</v>
      </c>
      <c r="AI5" s="4" t="s">
        <v>34</v>
      </c>
      <c r="AJ5" s="4" t="s">
        <v>16</v>
      </c>
      <c r="AK5" s="4"/>
    </row>
    <row r="6" spans="1:37" s="3" customFormat="1" x14ac:dyDescent="0.25">
      <c r="A6" s="3" t="s">
        <v>17</v>
      </c>
      <c r="B6" s="5">
        <v>1434.768</v>
      </c>
      <c r="C6" s="3" t="s">
        <v>18</v>
      </c>
      <c r="D6" s="6"/>
      <c r="E6" s="5">
        <v>0.56799999999999995</v>
      </c>
      <c r="F6" s="3" t="s">
        <v>19</v>
      </c>
      <c r="G6" s="6"/>
      <c r="H6" s="5">
        <v>0</v>
      </c>
      <c r="I6" s="3" t="s">
        <v>18</v>
      </c>
      <c r="J6" s="6"/>
      <c r="K6" s="3" t="s">
        <v>20</v>
      </c>
      <c r="L6" s="7" t="s">
        <v>41</v>
      </c>
      <c r="M6" s="3" t="s">
        <v>22</v>
      </c>
      <c r="N6" s="4" t="s">
        <v>42</v>
      </c>
      <c r="O6" s="4" t="s">
        <v>43</v>
      </c>
      <c r="P6" s="4" t="s">
        <v>44</v>
      </c>
      <c r="Q6" s="4" t="s">
        <v>3</v>
      </c>
      <c r="R6" s="4" t="s">
        <v>4</v>
      </c>
      <c r="S6" s="4" t="s">
        <v>25</v>
      </c>
      <c r="T6" s="4" t="s">
        <v>45</v>
      </c>
      <c r="U6" s="4"/>
      <c r="V6" s="4" t="s">
        <v>11</v>
      </c>
      <c r="W6" s="4" t="s">
        <v>46</v>
      </c>
      <c r="X6" s="4" t="s">
        <v>47</v>
      </c>
      <c r="Y6" s="4" t="s">
        <v>47</v>
      </c>
      <c r="Z6" s="4" t="s">
        <v>45</v>
      </c>
      <c r="AA6" s="4" t="s">
        <v>11</v>
      </c>
      <c r="AB6" s="4" t="s">
        <v>7</v>
      </c>
      <c r="AC6" s="4" t="s">
        <v>11</v>
      </c>
      <c r="AD6" s="4" t="s">
        <v>7</v>
      </c>
      <c r="AE6" s="4" t="s">
        <v>45</v>
      </c>
      <c r="AF6" s="4" t="s">
        <v>48</v>
      </c>
      <c r="AG6" s="4" t="s">
        <v>49</v>
      </c>
      <c r="AH6" s="4" t="s">
        <v>50</v>
      </c>
      <c r="AI6" s="4" t="s">
        <v>51</v>
      </c>
      <c r="AJ6" s="4" t="s">
        <v>16</v>
      </c>
      <c r="AK6" s="4"/>
    </row>
    <row r="7" spans="1:37" s="3" customFormat="1" x14ac:dyDescent="0.25">
      <c r="N7" s="4" t="s">
        <v>52</v>
      </c>
      <c r="O7" s="4" t="s">
        <v>53</v>
      </c>
      <c r="P7" s="4" t="s">
        <v>44</v>
      </c>
      <c r="Q7" s="4" t="s">
        <v>3</v>
      </c>
      <c r="R7" s="4" t="s">
        <v>4</v>
      </c>
      <c r="S7" s="4" t="s">
        <v>5</v>
      </c>
      <c r="T7" s="4" t="s">
        <v>54</v>
      </c>
      <c r="U7" s="4"/>
      <c r="V7" s="4" t="s">
        <v>7</v>
      </c>
      <c r="W7" s="4" t="s">
        <v>46</v>
      </c>
      <c r="X7" s="4" t="s">
        <v>47</v>
      </c>
      <c r="Y7" s="4" t="s">
        <v>47</v>
      </c>
      <c r="Z7" s="4" t="s">
        <v>55</v>
      </c>
      <c r="AA7" s="4" t="s">
        <v>11</v>
      </c>
      <c r="AB7" s="4" t="s">
        <v>7</v>
      </c>
      <c r="AC7" s="4" t="s">
        <v>11</v>
      </c>
      <c r="AD7" s="4" t="s">
        <v>7</v>
      </c>
      <c r="AE7" s="4" t="s">
        <v>55</v>
      </c>
      <c r="AF7" s="4" t="s">
        <v>56</v>
      </c>
      <c r="AG7" s="4" t="s">
        <v>57</v>
      </c>
      <c r="AH7" s="4" t="s">
        <v>50</v>
      </c>
      <c r="AI7" s="4" t="s">
        <v>51</v>
      </c>
      <c r="AJ7" s="4" t="s">
        <v>16</v>
      </c>
      <c r="AK7" s="4"/>
    </row>
    <row r="8" spans="1:37" s="3" customFormat="1" x14ac:dyDescent="0.25">
      <c r="A8" s="3" t="s">
        <v>17</v>
      </c>
      <c r="B8" s="5">
        <v>1847.922</v>
      </c>
      <c r="C8" s="3" t="s">
        <v>18</v>
      </c>
      <c r="D8" s="6"/>
      <c r="E8" s="5">
        <v>0.73</v>
      </c>
      <c r="F8" s="3" t="s">
        <v>19</v>
      </c>
      <c r="G8" s="6"/>
      <c r="H8" s="5">
        <v>0</v>
      </c>
      <c r="I8" s="3" t="s">
        <v>18</v>
      </c>
      <c r="J8" s="6"/>
      <c r="K8" s="3" t="s">
        <v>20</v>
      </c>
      <c r="L8" s="7" t="s">
        <v>58</v>
      </c>
      <c r="M8" s="3" t="s">
        <v>22</v>
      </c>
      <c r="N8" s="4" t="s">
        <v>59</v>
      </c>
      <c r="O8" s="4" t="s">
        <v>60</v>
      </c>
      <c r="P8" s="4" t="s">
        <v>61</v>
      </c>
      <c r="Q8" s="4" t="s">
        <v>3</v>
      </c>
      <c r="R8" s="4" t="s">
        <v>4</v>
      </c>
      <c r="S8" s="4" t="s">
        <v>25</v>
      </c>
      <c r="T8" s="4" t="s">
        <v>62</v>
      </c>
      <c r="U8" s="4"/>
      <c r="V8" s="4" t="s">
        <v>11</v>
      </c>
      <c r="W8" s="4" t="s">
        <v>63</v>
      </c>
      <c r="X8" s="4" t="s">
        <v>64</v>
      </c>
      <c r="Y8" s="4" t="s">
        <v>64</v>
      </c>
      <c r="Z8" s="4" t="s">
        <v>62</v>
      </c>
      <c r="AA8" s="4" t="s">
        <v>11</v>
      </c>
      <c r="AB8" s="4" t="s">
        <v>7</v>
      </c>
      <c r="AC8" s="4" t="s">
        <v>11</v>
      </c>
      <c r="AD8" s="4" t="s">
        <v>7</v>
      </c>
      <c r="AE8" s="4" t="s">
        <v>62</v>
      </c>
      <c r="AF8" s="4" t="s">
        <v>65</v>
      </c>
      <c r="AG8" s="4" t="s">
        <v>66</v>
      </c>
      <c r="AH8" s="4" t="s">
        <v>67</v>
      </c>
      <c r="AI8" s="4" t="s">
        <v>68</v>
      </c>
      <c r="AJ8" s="4" t="s">
        <v>16</v>
      </c>
      <c r="AK8" s="4"/>
    </row>
    <row r="9" spans="1:37" s="3" customFormat="1" x14ac:dyDescent="0.25">
      <c r="N9" s="4" t="s">
        <v>69</v>
      </c>
      <c r="O9" s="4" t="s">
        <v>70</v>
      </c>
      <c r="P9" s="4" t="s">
        <v>61</v>
      </c>
      <c r="Q9" s="4" t="s">
        <v>3</v>
      </c>
      <c r="R9" s="4" t="s">
        <v>4</v>
      </c>
      <c r="S9" s="4" t="s">
        <v>5</v>
      </c>
      <c r="T9" s="4" t="s">
        <v>71</v>
      </c>
      <c r="U9" s="4"/>
      <c r="V9" s="4" t="s">
        <v>7</v>
      </c>
      <c r="W9" s="4" t="s">
        <v>63</v>
      </c>
      <c r="X9" s="4" t="s">
        <v>64</v>
      </c>
      <c r="Y9" s="4" t="s">
        <v>64</v>
      </c>
      <c r="Z9" s="4" t="s">
        <v>72</v>
      </c>
      <c r="AA9" s="4" t="s">
        <v>11</v>
      </c>
      <c r="AB9" s="4" t="s">
        <v>7</v>
      </c>
      <c r="AC9" s="4" t="s">
        <v>11</v>
      </c>
      <c r="AD9" s="4" t="s">
        <v>7</v>
      </c>
      <c r="AE9" s="4" t="s">
        <v>72</v>
      </c>
      <c r="AF9" s="4" t="s">
        <v>73</v>
      </c>
      <c r="AG9" s="4" t="s">
        <v>74</v>
      </c>
      <c r="AH9" s="4" t="s">
        <v>67</v>
      </c>
      <c r="AI9" s="4" t="s">
        <v>68</v>
      </c>
      <c r="AJ9" s="4" t="s">
        <v>16</v>
      </c>
      <c r="AK9" s="4"/>
    </row>
    <row r="10" spans="1:37" s="3" customFormat="1" x14ac:dyDescent="0.25">
      <c r="A10" s="3" t="s">
        <v>17</v>
      </c>
      <c r="B10" s="5">
        <v>0.68</v>
      </c>
      <c r="C10" s="3" t="s">
        <v>19</v>
      </c>
      <c r="D10" s="6"/>
      <c r="E10" s="5">
        <v>1724.2760000000001</v>
      </c>
      <c r="F10" s="3" t="s">
        <v>18</v>
      </c>
      <c r="G10" s="6"/>
      <c r="H10" s="5">
        <v>0</v>
      </c>
      <c r="I10" s="3" t="s">
        <v>18</v>
      </c>
      <c r="J10" s="6"/>
      <c r="K10" s="3" t="s">
        <v>20</v>
      </c>
      <c r="L10" s="7" t="s">
        <v>75</v>
      </c>
      <c r="M10" s="3" t="s">
        <v>22</v>
      </c>
      <c r="N10" s="4" t="s">
        <v>76</v>
      </c>
      <c r="O10" s="4" t="s">
        <v>77</v>
      </c>
      <c r="P10" s="4" t="s">
        <v>78</v>
      </c>
      <c r="Q10" s="4" t="s">
        <v>3</v>
      </c>
      <c r="R10" s="4" t="s">
        <v>4</v>
      </c>
      <c r="S10" s="4" t="s">
        <v>5</v>
      </c>
      <c r="T10" s="4" t="s">
        <v>79</v>
      </c>
      <c r="U10" s="4"/>
      <c r="V10" s="4" t="s">
        <v>11</v>
      </c>
      <c r="W10" s="4" t="s">
        <v>80</v>
      </c>
      <c r="X10" s="4" t="s">
        <v>81</v>
      </c>
      <c r="Y10" s="4" t="s">
        <v>81</v>
      </c>
      <c r="Z10" s="4" t="s">
        <v>82</v>
      </c>
      <c r="AA10" s="4" t="s">
        <v>11</v>
      </c>
      <c r="AB10" s="4" t="s">
        <v>7</v>
      </c>
      <c r="AC10" s="4" t="s">
        <v>11</v>
      </c>
      <c r="AD10" s="4" t="s">
        <v>7</v>
      </c>
      <c r="AE10" s="4" t="s">
        <v>82</v>
      </c>
      <c r="AF10" s="4" t="s">
        <v>83</v>
      </c>
      <c r="AG10" s="4" t="s">
        <v>84</v>
      </c>
      <c r="AH10" s="4" t="s">
        <v>85</v>
      </c>
      <c r="AI10" s="4" t="s">
        <v>86</v>
      </c>
      <c r="AJ10" s="4" t="s">
        <v>16</v>
      </c>
      <c r="AK10" s="4"/>
    </row>
    <row r="11" spans="1:37" s="3" customFormat="1" x14ac:dyDescent="0.25">
      <c r="N11" s="4" t="s">
        <v>87</v>
      </c>
      <c r="O11" s="4" t="s">
        <v>88</v>
      </c>
      <c r="P11" s="4" t="s">
        <v>78</v>
      </c>
      <c r="Q11" s="4" t="s">
        <v>3</v>
      </c>
      <c r="R11" s="4" t="s">
        <v>4</v>
      </c>
      <c r="S11" s="4" t="s">
        <v>25</v>
      </c>
      <c r="T11" s="4" t="s">
        <v>89</v>
      </c>
      <c r="U11" s="4"/>
      <c r="V11" s="4" t="s">
        <v>7</v>
      </c>
      <c r="W11" s="4" t="s">
        <v>80</v>
      </c>
      <c r="X11" s="4" t="s">
        <v>81</v>
      </c>
      <c r="Y11" s="4" t="s">
        <v>81</v>
      </c>
      <c r="Z11" s="4" t="s">
        <v>89</v>
      </c>
      <c r="AA11" s="4" t="s">
        <v>11</v>
      </c>
      <c r="AB11" s="4" t="s">
        <v>7</v>
      </c>
      <c r="AC11" s="4" t="s">
        <v>11</v>
      </c>
      <c r="AD11" s="4" t="s">
        <v>7</v>
      </c>
      <c r="AE11" s="4" t="s">
        <v>89</v>
      </c>
      <c r="AF11" s="4" t="s">
        <v>90</v>
      </c>
      <c r="AG11" s="4" t="s">
        <v>91</v>
      </c>
      <c r="AH11" s="4" t="s">
        <v>85</v>
      </c>
      <c r="AI11" s="4" t="s">
        <v>86</v>
      </c>
      <c r="AJ11" s="4" t="s">
        <v>16</v>
      </c>
      <c r="AK11" s="4"/>
    </row>
    <row r="12" spans="1:37" s="3" customFormat="1" x14ac:dyDescent="0.25">
      <c r="A12" s="3" t="s">
        <v>17</v>
      </c>
      <c r="B12" s="5">
        <v>2.1999999999999999E-2</v>
      </c>
      <c r="C12" s="3" t="s">
        <v>19</v>
      </c>
      <c r="D12" s="6"/>
      <c r="E12" s="5">
        <v>55.77</v>
      </c>
      <c r="F12" s="3" t="s">
        <v>18</v>
      </c>
      <c r="G12" s="6"/>
      <c r="H12" s="5">
        <v>0</v>
      </c>
      <c r="I12" s="3" t="s">
        <v>18</v>
      </c>
      <c r="J12" s="6"/>
      <c r="K12" s="3" t="s">
        <v>20</v>
      </c>
      <c r="L12" s="7" t="s">
        <v>92</v>
      </c>
      <c r="M12" s="3" t="s">
        <v>22</v>
      </c>
      <c r="N12" s="4" t="s">
        <v>93</v>
      </c>
      <c r="O12" s="4" t="s">
        <v>94</v>
      </c>
      <c r="P12" s="4" t="s">
        <v>95</v>
      </c>
      <c r="Q12" s="4" t="s">
        <v>3</v>
      </c>
      <c r="R12" s="4" t="s">
        <v>4</v>
      </c>
      <c r="S12" s="4" t="s">
        <v>5</v>
      </c>
      <c r="T12" s="4" t="s">
        <v>96</v>
      </c>
      <c r="U12" s="4"/>
      <c r="V12" s="4" t="s">
        <v>11</v>
      </c>
      <c r="W12" s="4" t="s">
        <v>97</v>
      </c>
      <c r="X12" s="4" t="s">
        <v>98</v>
      </c>
      <c r="Y12" s="4" t="s">
        <v>98</v>
      </c>
      <c r="Z12" s="4" t="s">
        <v>99</v>
      </c>
      <c r="AA12" s="4" t="s">
        <v>11</v>
      </c>
      <c r="AB12" s="4" t="s">
        <v>7</v>
      </c>
      <c r="AC12" s="4" t="s">
        <v>11</v>
      </c>
      <c r="AD12" s="4" t="s">
        <v>7</v>
      </c>
      <c r="AE12" s="4" t="s">
        <v>99</v>
      </c>
      <c r="AF12" s="4" t="s">
        <v>100</v>
      </c>
      <c r="AG12" s="4" t="s">
        <v>101</v>
      </c>
      <c r="AH12" s="4" t="s">
        <v>102</v>
      </c>
      <c r="AI12" s="4" t="s">
        <v>103</v>
      </c>
      <c r="AJ12" s="4" t="s">
        <v>16</v>
      </c>
      <c r="AK12" s="4"/>
    </row>
    <row r="13" spans="1:37" s="3" customFormat="1" x14ac:dyDescent="0.25">
      <c r="N13" s="4" t="s">
        <v>104</v>
      </c>
      <c r="O13" s="4" t="s">
        <v>105</v>
      </c>
      <c r="P13" s="4" t="s">
        <v>95</v>
      </c>
      <c r="Q13" s="4" t="s">
        <v>3</v>
      </c>
      <c r="R13" s="4" t="s">
        <v>4</v>
      </c>
      <c r="S13" s="4" t="s">
        <v>25</v>
      </c>
      <c r="T13" s="4" t="s">
        <v>106</v>
      </c>
      <c r="U13" s="4"/>
      <c r="V13" s="4" t="s">
        <v>7</v>
      </c>
      <c r="W13" s="4" t="s">
        <v>97</v>
      </c>
      <c r="X13" s="4" t="s">
        <v>98</v>
      </c>
      <c r="Y13" s="4" t="s">
        <v>98</v>
      </c>
      <c r="Z13" s="4" t="s">
        <v>106</v>
      </c>
      <c r="AA13" s="4" t="s">
        <v>11</v>
      </c>
      <c r="AB13" s="4" t="s">
        <v>7</v>
      </c>
      <c r="AC13" s="4" t="s">
        <v>11</v>
      </c>
      <c r="AD13" s="4" t="s">
        <v>7</v>
      </c>
      <c r="AE13" s="4" t="s">
        <v>106</v>
      </c>
      <c r="AF13" s="4" t="s">
        <v>107</v>
      </c>
      <c r="AG13" s="4" t="s">
        <v>108</v>
      </c>
      <c r="AH13" s="4" t="s">
        <v>102</v>
      </c>
      <c r="AI13" s="4" t="s">
        <v>103</v>
      </c>
      <c r="AJ13" s="4" t="s">
        <v>16</v>
      </c>
      <c r="AK13" s="4"/>
    </row>
    <row r="14" spans="1:37" s="3" customFormat="1" x14ac:dyDescent="0.25">
      <c r="A14" s="3" t="s">
        <v>17</v>
      </c>
      <c r="B14" s="5">
        <v>1000.15201</v>
      </c>
      <c r="C14" s="3" t="s">
        <v>18</v>
      </c>
      <c r="D14" s="6"/>
      <c r="E14" s="5">
        <v>0.32890000000000003</v>
      </c>
      <c r="F14" s="3" t="s">
        <v>19</v>
      </c>
      <c r="G14" s="6"/>
      <c r="H14" s="5">
        <v>0</v>
      </c>
      <c r="I14" s="3" t="s">
        <v>18</v>
      </c>
      <c r="J14" s="6"/>
      <c r="K14" s="3" t="s">
        <v>20</v>
      </c>
      <c r="L14" s="7" t="s">
        <v>109</v>
      </c>
      <c r="M14" s="3" t="s">
        <v>22</v>
      </c>
      <c r="N14" s="4" t="s">
        <v>110</v>
      </c>
      <c r="O14" s="4" t="s">
        <v>111</v>
      </c>
      <c r="P14" s="4" t="s">
        <v>112</v>
      </c>
      <c r="Q14" s="4" t="s">
        <v>3</v>
      </c>
      <c r="R14" s="4" t="s">
        <v>4</v>
      </c>
      <c r="S14" s="4" t="s">
        <v>113</v>
      </c>
      <c r="T14" s="4" t="s">
        <v>114</v>
      </c>
      <c r="U14" s="4"/>
      <c r="V14" s="4" t="s">
        <v>11</v>
      </c>
      <c r="W14" s="4" t="s">
        <v>115</v>
      </c>
      <c r="X14" s="4" t="s">
        <v>116</v>
      </c>
      <c r="Y14" s="4" t="s">
        <v>116</v>
      </c>
      <c r="Z14" s="4" t="s">
        <v>114</v>
      </c>
      <c r="AA14" s="4" t="s">
        <v>11</v>
      </c>
      <c r="AB14" s="4" t="s">
        <v>7</v>
      </c>
      <c r="AC14" s="4" t="s">
        <v>11</v>
      </c>
      <c r="AD14" s="4" t="s">
        <v>7</v>
      </c>
      <c r="AE14" s="4" t="s">
        <v>114</v>
      </c>
      <c r="AF14" s="4" t="s">
        <v>117</v>
      </c>
      <c r="AG14" s="4" t="s">
        <v>118</v>
      </c>
      <c r="AH14" s="4" t="s">
        <v>119</v>
      </c>
      <c r="AI14" s="4" t="s">
        <v>120</v>
      </c>
      <c r="AJ14" s="4" t="s">
        <v>121</v>
      </c>
      <c r="AK14" s="4"/>
    </row>
    <row r="15" spans="1:37" s="3" customFormat="1" x14ac:dyDescent="0.25">
      <c r="N15" s="4" t="s">
        <v>122</v>
      </c>
      <c r="O15" s="4" t="s">
        <v>123</v>
      </c>
      <c r="P15" s="4" t="s">
        <v>112</v>
      </c>
      <c r="Q15" s="4" t="s">
        <v>3</v>
      </c>
      <c r="R15" s="4" t="s">
        <v>4</v>
      </c>
      <c r="S15" s="4" t="s">
        <v>124</v>
      </c>
      <c r="T15" s="4" t="s">
        <v>125</v>
      </c>
      <c r="U15" s="4"/>
      <c r="V15" s="4" t="s">
        <v>7</v>
      </c>
      <c r="W15" s="4" t="s">
        <v>115</v>
      </c>
      <c r="X15" s="4" t="s">
        <v>116</v>
      </c>
      <c r="Y15" s="4" t="s">
        <v>116</v>
      </c>
      <c r="Z15" s="4" t="s">
        <v>126</v>
      </c>
      <c r="AA15" s="4" t="s">
        <v>11</v>
      </c>
      <c r="AB15" s="4" t="s">
        <v>7</v>
      </c>
      <c r="AC15" s="4" t="s">
        <v>11</v>
      </c>
      <c r="AD15" s="4" t="s">
        <v>7</v>
      </c>
      <c r="AE15" s="4" t="s">
        <v>126</v>
      </c>
      <c r="AF15" s="4" t="s">
        <v>127</v>
      </c>
      <c r="AG15" s="4" t="s">
        <v>128</v>
      </c>
      <c r="AH15" s="4" t="s">
        <v>119</v>
      </c>
      <c r="AI15" s="4" t="s">
        <v>120</v>
      </c>
      <c r="AJ15" s="4" t="s">
        <v>121</v>
      </c>
      <c r="AK15" s="4"/>
    </row>
    <row r="16" spans="1:37" s="3" customFormat="1" x14ac:dyDescent="0.25">
      <c r="A16" s="3" t="s">
        <v>17</v>
      </c>
      <c r="B16" s="5">
        <v>0.63439999999999996</v>
      </c>
      <c r="C16" s="3" t="s">
        <v>18</v>
      </c>
      <c r="D16" s="6"/>
      <c r="E16" s="5">
        <v>2.0000000000000001E-4</v>
      </c>
      <c r="F16" s="3" t="s">
        <v>19</v>
      </c>
      <c r="G16" s="6"/>
      <c r="H16" s="5">
        <v>0</v>
      </c>
      <c r="I16" s="3" t="s">
        <v>18</v>
      </c>
      <c r="J16" s="6"/>
      <c r="K16" s="3" t="s">
        <v>20</v>
      </c>
      <c r="L16" s="7" t="s">
        <v>129</v>
      </c>
      <c r="M16" s="3" t="s">
        <v>22</v>
      </c>
      <c r="N16" s="4" t="s">
        <v>130</v>
      </c>
      <c r="O16" s="4" t="s">
        <v>131</v>
      </c>
      <c r="P16" s="4" t="s">
        <v>132</v>
      </c>
      <c r="Q16" s="4" t="s">
        <v>3</v>
      </c>
      <c r="R16" s="4" t="s">
        <v>4</v>
      </c>
      <c r="S16" s="4" t="s">
        <v>113</v>
      </c>
      <c r="T16" s="4" t="s">
        <v>133</v>
      </c>
      <c r="U16" s="4"/>
      <c r="V16" s="4" t="s">
        <v>11</v>
      </c>
      <c r="W16" s="4" t="s">
        <v>134</v>
      </c>
      <c r="X16" s="4" t="s">
        <v>135</v>
      </c>
      <c r="Y16" s="4" t="s">
        <v>135</v>
      </c>
      <c r="Z16" s="4" t="s">
        <v>133</v>
      </c>
      <c r="AA16" s="4" t="s">
        <v>11</v>
      </c>
      <c r="AB16" s="4" t="s">
        <v>7</v>
      </c>
      <c r="AC16" s="4" t="s">
        <v>11</v>
      </c>
      <c r="AD16" s="4" t="s">
        <v>7</v>
      </c>
      <c r="AE16" s="4" t="s">
        <v>133</v>
      </c>
      <c r="AF16" s="4" t="s">
        <v>136</v>
      </c>
      <c r="AG16" s="4" t="s">
        <v>137</v>
      </c>
      <c r="AH16" s="4" t="s">
        <v>138</v>
      </c>
      <c r="AI16" s="4" t="s">
        <v>139</v>
      </c>
      <c r="AJ16" s="4" t="s">
        <v>121</v>
      </c>
      <c r="AK16" s="4"/>
    </row>
    <row r="17" spans="1:37" s="3" customFormat="1" x14ac:dyDescent="0.25">
      <c r="N17" s="4" t="s">
        <v>140</v>
      </c>
      <c r="O17" s="4" t="s">
        <v>141</v>
      </c>
      <c r="P17" s="4" t="s">
        <v>132</v>
      </c>
      <c r="Q17" s="4" t="s">
        <v>3</v>
      </c>
      <c r="R17" s="4" t="s">
        <v>4</v>
      </c>
      <c r="S17" s="4" t="s">
        <v>124</v>
      </c>
      <c r="T17" s="4" t="s">
        <v>142</v>
      </c>
      <c r="U17" s="4"/>
      <c r="V17" s="4" t="s">
        <v>7</v>
      </c>
      <c r="W17" s="4" t="s">
        <v>134</v>
      </c>
      <c r="X17" s="4" t="s">
        <v>135</v>
      </c>
      <c r="Y17" s="4" t="s">
        <v>135</v>
      </c>
      <c r="Z17" s="4" t="s">
        <v>143</v>
      </c>
      <c r="AA17" s="4" t="s">
        <v>11</v>
      </c>
      <c r="AB17" s="4" t="s">
        <v>7</v>
      </c>
      <c r="AC17" s="4" t="s">
        <v>11</v>
      </c>
      <c r="AD17" s="4" t="s">
        <v>7</v>
      </c>
      <c r="AE17" s="4" t="s">
        <v>143</v>
      </c>
      <c r="AF17" s="4" t="s">
        <v>144</v>
      </c>
      <c r="AG17" s="4" t="s">
        <v>145</v>
      </c>
      <c r="AH17" s="4" t="s">
        <v>138</v>
      </c>
      <c r="AI17" s="4" t="s">
        <v>139</v>
      </c>
      <c r="AJ17" s="4" t="s">
        <v>121</v>
      </c>
      <c r="AK17" s="4"/>
    </row>
    <row r="18" spans="1:37" s="3" customFormat="1" x14ac:dyDescent="0.25">
      <c r="N18" s="4" t="s">
        <v>146</v>
      </c>
      <c r="O18" s="4" t="s">
        <v>147</v>
      </c>
      <c r="P18" s="4" t="s">
        <v>132</v>
      </c>
      <c r="Q18" s="4" t="s">
        <v>3</v>
      </c>
      <c r="R18" s="4" t="s">
        <v>4</v>
      </c>
      <c r="S18" s="4" t="s">
        <v>124</v>
      </c>
      <c r="T18" s="4" t="s">
        <v>148</v>
      </c>
      <c r="U18" s="4"/>
      <c r="V18" s="4" t="s">
        <v>7</v>
      </c>
      <c r="W18" s="4" t="s">
        <v>149</v>
      </c>
      <c r="X18" s="4" t="s">
        <v>135</v>
      </c>
      <c r="Y18" s="4" t="s">
        <v>135</v>
      </c>
      <c r="Z18" s="4" t="s">
        <v>150</v>
      </c>
      <c r="AA18" s="4" t="s">
        <v>11</v>
      </c>
      <c r="AB18" s="4" t="s">
        <v>7</v>
      </c>
      <c r="AC18" s="4" t="s">
        <v>11</v>
      </c>
      <c r="AD18" s="4" t="s">
        <v>7</v>
      </c>
      <c r="AE18" s="4" t="s">
        <v>150</v>
      </c>
      <c r="AF18" s="4" t="s">
        <v>151</v>
      </c>
      <c r="AG18" s="4" t="s">
        <v>145</v>
      </c>
      <c r="AH18" s="4" t="s">
        <v>152</v>
      </c>
      <c r="AI18" s="4" t="s">
        <v>139</v>
      </c>
      <c r="AJ18" s="4" t="s">
        <v>121</v>
      </c>
      <c r="AK18" s="4"/>
    </row>
    <row r="19" spans="1:37" s="3" customFormat="1" x14ac:dyDescent="0.25">
      <c r="A19" s="3" t="s">
        <v>17</v>
      </c>
      <c r="B19" s="5">
        <v>999.40463999999997</v>
      </c>
      <c r="C19" s="3" t="s">
        <v>18</v>
      </c>
      <c r="D19" s="6"/>
      <c r="E19" s="5">
        <v>0.31519999999999998</v>
      </c>
      <c r="F19" s="3" t="s">
        <v>19</v>
      </c>
      <c r="G19" s="6"/>
      <c r="H19" s="5">
        <v>0</v>
      </c>
      <c r="I19" s="3" t="s">
        <v>18</v>
      </c>
      <c r="J19" s="6"/>
      <c r="K19" s="3" t="s">
        <v>20</v>
      </c>
      <c r="L19" s="7" t="s">
        <v>153</v>
      </c>
      <c r="M19" s="3" t="s">
        <v>22</v>
      </c>
      <c r="N19" s="4" t="s">
        <v>154</v>
      </c>
      <c r="O19" s="4" t="s">
        <v>155</v>
      </c>
      <c r="P19" s="4" t="s">
        <v>132</v>
      </c>
      <c r="Q19" s="4" t="s">
        <v>3</v>
      </c>
      <c r="R19" s="4" t="s">
        <v>4</v>
      </c>
      <c r="S19" s="4" t="s">
        <v>113</v>
      </c>
      <c r="T19" s="4" t="s">
        <v>156</v>
      </c>
      <c r="U19" s="4"/>
      <c r="V19" s="4" t="s">
        <v>11</v>
      </c>
      <c r="W19" s="4" t="s">
        <v>149</v>
      </c>
      <c r="X19" s="4" t="s">
        <v>135</v>
      </c>
      <c r="Y19" s="4" t="s">
        <v>135</v>
      </c>
      <c r="Z19" s="4" t="s">
        <v>156</v>
      </c>
      <c r="AA19" s="4" t="s">
        <v>11</v>
      </c>
      <c r="AB19" s="4" t="s">
        <v>7</v>
      </c>
      <c r="AC19" s="4" t="s">
        <v>11</v>
      </c>
      <c r="AD19" s="4" t="s">
        <v>7</v>
      </c>
      <c r="AE19" s="4" t="s">
        <v>156</v>
      </c>
      <c r="AF19" s="4" t="s">
        <v>157</v>
      </c>
      <c r="AG19" s="4" t="s">
        <v>137</v>
      </c>
      <c r="AH19" s="4" t="s">
        <v>152</v>
      </c>
      <c r="AI19" s="4" t="s">
        <v>139</v>
      </c>
      <c r="AJ19" s="4" t="s">
        <v>121</v>
      </c>
      <c r="AK19" s="4"/>
    </row>
    <row r="20" spans="1:37" s="3" customFormat="1" x14ac:dyDescent="0.25">
      <c r="N20" s="4" t="s">
        <v>158</v>
      </c>
      <c r="O20" s="4" t="s">
        <v>159</v>
      </c>
      <c r="P20" s="4" t="s">
        <v>160</v>
      </c>
      <c r="Q20" s="4" t="s">
        <v>3</v>
      </c>
      <c r="R20" s="4" t="s">
        <v>4</v>
      </c>
      <c r="S20" s="4" t="s">
        <v>124</v>
      </c>
      <c r="T20" s="4" t="s">
        <v>161</v>
      </c>
      <c r="U20" s="4"/>
      <c r="V20" s="4" t="s">
        <v>7</v>
      </c>
      <c r="W20" s="4" t="s">
        <v>162</v>
      </c>
      <c r="X20" s="4" t="s">
        <v>163</v>
      </c>
      <c r="Y20" s="4" t="s">
        <v>163</v>
      </c>
      <c r="Z20" s="4" t="s">
        <v>164</v>
      </c>
      <c r="AA20" s="4" t="s">
        <v>11</v>
      </c>
      <c r="AB20" s="4" t="s">
        <v>7</v>
      </c>
      <c r="AC20" s="4" t="s">
        <v>11</v>
      </c>
      <c r="AD20" s="4" t="s">
        <v>7</v>
      </c>
      <c r="AE20" s="4" t="s">
        <v>164</v>
      </c>
      <c r="AF20" s="4" t="s">
        <v>165</v>
      </c>
      <c r="AG20" s="4" t="s">
        <v>166</v>
      </c>
      <c r="AH20" s="4" t="s">
        <v>167</v>
      </c>
      <c r="AI20" s="4" t="s">
        <v>168</v>
      </c>
      <c r="AJ20" s="4" t="s">
        <v>121</v>
      </c>
      <c r="AK20" s="4"/>
    </row>
    <row r="21" spans="1:37" s="3" customFormat="1" x14ac:dyDescent="0.25">
      <c r="A21" s="3" t="s">
        <v>17</v>
      </c>
      <c r="B21" s="5">
        <v>1000.1208</v>
      </c>
      <c r="C21" s="3" t="s">
        <v>18</v>
      </c>
      <c r="D21" s="6"/>
      <c r="E21" s="5">
        <v>0.30270000000000002</v>
      </c>
      <c r="F21" s="3" t="s">
        <v>19</v>
      </c>
      <c r="G21" s="6"/>
      <c r="H21" s="5">
        <v>0</v>
      </c>
      <c r="I21" s="3" t="s">
        <v>18</v>
      </c>
      <c r="J21" s="6"/>
      <c r="K21" s="3" t="s">
        <v>20</v>
      </c>
      <c r="L21" s="7" t="s">
        <v>169</v>
      </c>
      <c r="M21" s="3" t="s">
        <v>22</v>
      </c>
      <c r="N21" s="4" t="s">
        <v>170</v>
      </c>
      <c r="O21" s="4" t="s">
        <v>171</v>
      </c>
      <c r="P21" s="4" t="s">
        <v>160</v>
      </c>
      <c r="Q21" s="4" t="s">
        <v>3</v>
      </c>
      <c r="R21" s="4" t="s">
        <v>4</v>
      </c>
      <c r="S21" s="4" t="s">
        <v>113</v>
      </c>
      <c r="T21" s="4" t="s">
        <v>172</v>
      </c>
      <c r="U21" s="4"/>
      <c r="V21" s="4" t="s">
        <v>11</v>
      </c>
      <c r="W21" s="4" t="s">
        <v>162</v>
      </c>
      <c r="X21" s="4" t="s">
        <v>163</v>
      </c>
      <c r="Y21" s="4" t="s">
        <v>163</v>
      </c>
      <c r="Z21" s="4" t="s">
        <v>172</v>
      </c>
      <c r="AA21" s="4" t="s">
        <v>11</v>
      </c>
      <c r="AB21" s="4" t="s">
        <v>7</v>
      </c>
      <c r="AC21" s="4" t="s">
        <v>11</v>
      </c>
      <c r="AD21" s="4" t="s">
        <v>7</v>
      </c>
      <c r="AE21" s="4" t="s">
        <v>172</v>
      </c>
      <c r="AF21" s="4" t="s">
        <v>173</v>
      </c>
      <c r="AG21" s="4" t="s">
        <v>174</v>
      </c>
      <c r="AH21" s="4" t="s">
        <v>167</v>
      </c>
      <c r="AI21" s="4" t="s">
        <v>168</v>
      </c>
      <c r="AJ21" s="4" t="s">
        <v>121</v>
      </c>
      <c r="AK21" s="4"/>
    </row>
    <row r="22" spans="1:37" s="3" customFormat="1" x14ac:dyDescent="0.25">
      <c r="A22" s="3" t="s">
        <v>17</v>
      </c>
      <c r="B22" s="5">
        <v>903.98800000000006</v>
      </c>
      <c r="C22" s="3" t="s">
        <v>18</v>
      </c>
      <c r="D22" s="6"/>
      <c r="E22" s="5">
        <v>0.28999999999999998</v>
      </c>
      <c r="F22" s="3" t="s">
        <v>19</v>
      </c>
      <c r="G22" s="6"/>
      <c r="H22" s="5">
        <v>0</v>
      </c>
      <c r="I22" s="3" t="s">
        <v>18</v>
      </c>
      <c r="J22" s="6"/>
      <c r="K22" s="3" t="s">
        <v>20</v>
      </c>
      <c r="L22" s="7" t="s">
        <v>175</v>
      </c>
      <c r="M22" s="3" t="s">
        <v>22</v>
      </c>
      <c r="N22" s="4" t="s">
        <v>176</v>
      </c>
      <c r="O22" s="4" t="s">
        <v>177</v>
      </c>
      <c r="P22" s="4" t="s">
        <v>178</v>
      </c>
      <c r="Q22" s="4" t="s">
        <v>3</v>
      </c>
      <c r="R22" s="4" t="s">
        <v>4</v>
      </c>
      <c r="S22" s="4" t="s">
        <v>25</v>
      </c>
      <c r="T22" s="4" t="s">
        <v>179</v>
      </c>
      <c r="U22" s="4"/>
      <c r="V22" s="4" t="s">
        <v>11</v>
      </c>
      <c r="W22" s="4" t="s">
        <v>180</v>
      </c>
      <c r="X22" s="4" t="s">
        <v>181</v>
      </c>
      <c r="Y22" s="4" t="s">
        <v>181</v>
      </c>
      <c r="Z22" s="4" t="s">
        <v>179</v>
      </c>
      <c r="AA22" s="4" t="s">
        <v>11</v>
      </c>
      <c r="AB22" s="4" t="s">
        <v>7</v>
      </c>
      <c r="AC22" s="4" t="s">
        <v>11</v>
      </c>
      <c r="AD22" s="4" t="s">
        <v>7</v>
      </c>
      <c r="AE22" s="4" t="s">
        <v>179</v>
      </c>
      <c r="AF22" s="4" t="s">
        <v>182</v>
      </c>
      <c r="AG22" s="4" t="s">
        <v>183</v>
      </c>
      <c r="AH22" s="4" t="s">
        <v>184</v>
      </c>
      <c r="AI22" s="4" t="s">
        <v>185</v>
      </c>
      <c r="AJ22" s="4" t="s">
        <v>16</v>
      </c>
      <c r="AK22" s="4"/>
    </row>
    <row r="23" spans="1:37" s="3" customFormat="1" x14ac:dyDescent="0.25">
      <c r="N23" s="4" t="s">
        <v>186</v>
      </c>
      <c r="O23" s="4" t="s">
        <v>187</v>
      </c>
      <c r="P23" s="4" t="s">
        <v>178</v>
      </c>
      <c r="Q23" s="4" t="s">
        <v>3</v>
      </c>
      <c r="R23" s="4" t="s">
        <v>4</v>
      </c>
      <c r="S23" s="4" t="s">
        <v>5</v>
      </c>
      <c r="T23" s="4" t="s">
        <v>188</v>
      </c>
      <c r="U23" s="4"/>
      <c r="V23" s="4" t="s">
        <v>7</v>
      </c>
      <c r="W23" s="4" t="s">
        <v>180</v>
      </c>
      <c r="X23" s="4" t="s">
        <v>181</v>
      </c>
      <c r="Y23" s="4" t="s">
        <v>181</v>
      </c>
      <c r="Z23" s="4" t="s">
        <v>189</v>
      </c>
      <c r="AA23" s="4" t="s">
        <v>11</v>
      </c>
      <c r="AB23" s="4" t="s">
        <v>7</v>
      </c>
      <c r="AC23" s="4" t="s">
        <v>11</v>
      </c>
      <c r="AD23" s="4" t="s">
        <v>7</v>
      </c>
      <c r="AE23" s="4" t="s">
        <v>189</v>
      </c>
      <c r="AF23" s="4" t="s">
        <v>190</v>
      </c>
      <c r="AG23" s="4" t="s">
        <v>190</v>
      </c>
      <c r="AH23" s="4" t="s">
        <v>184</v>
      </c>
      <c r="AI23" s="4" t="s">
        <v>185</v>
      </c>
      <c r="AJ23" s="4" t="s">
        <v>16</v>
      </c>
      <c r="AK23" s="4"/>
    </row>
    <row r="24" spans="1:37" s="3" customFormat="1" x14ac:dyDescent="0.25">
      <c r="N24" s="4" t="s">
        <v>191</v>
      </c>
      <c r="O24" s="4" t="s">
        <v>192</v>
      </c>
      <c r="P24" s="4" t="s">
        <v>193</v>
      </c>
      <c r="Q24" s="4" t="s">
        <v>3</v>
      </c>
      <c r="R24" s="4" t="s">
        <v>4</v>
      </c>
      <c r="S24" s="4" t="s">
        <v>5</v>
      </c>
      <c r="T24" s="4" t="s">
        <v>188</v>
      </c>
      <c r="U24" s="4"/>
      <c r="V24" s="4" t="s">
        <v>7</v>
      </c>
      <c r="W24" s="4" t="s">
        <v>194</v>
      </c>
      <c r="X24" s="4" t="s">
        <v>195</v>
      </c>
      <c r="Y24" s="4" t="s">
        <v>195</v>
      </c>
      <c r="Z24" s="4" t="s">
        <v>189</v>
      </c>
      <c r="AA24" s="4" t="s">
        <v>11</v>
      </c>
      <c r="AB24" s="4" t="s">
        <v>7</v>
      </c>
      <c r="AC24" s="4" t="s">
        <v>11</v>
      </c>
      <c r="AD24" s="4" t="s">
        <v>7</v>
      </c>
      <c r="AE24" s="4" t="s">
        <v>189</v>
      </c>
      <c r="AF24" s="4" t="s">
        <v>196</v>
      </c>
      <c r="AG24" s="4" t="s">
        <v>196</v>
      </c>
      <c r="AH24" s="4" t="s">
        <v>197</v>
      </c>
      <c r="AI24" s="4" t="s">
        <v>198</v>
      </c>
      <c r="AJ24" s="4" t="s">
        <v>16</v>
      </c>
      <c r="AK24" s="4"/>
    </row>
    <row r="25" spans="1:37" s="3" customFormat="1" x14ac:dyDescent="0.25">
      <c r="A25" s="3" t="s">
        <v>17</v>
      </c>
      <c r="B25" s="5">
        <v>904.01700000000005</v>
      </c>
      <c r="C25" s="3" t="s">
        <v>18</v>
      </c>
      <c r="D25" s="6"/>
      <c r="E25" s="5">
        <v>0.28999999999999998</v>
      </c>
      <c r="F25" s="3" t="s">
        <v>19</v>
      </c>
      <c r="G25" s="6"/>
      <c r="H25" s="5">
        <v>0</v>
      </c>
      <c r="I25" s="3" t="s">
        <v>18</v>
      </c>
      <c r="J25" s="6"/>
      <c r="K25" s="3" t="s">
        <v>20</v>
      </c>
      <c r="L25" s="7" t="s">
        <v>199</v>
      </c>
      <c r="M25" s="3" t="s">
        <v>22</v>
      </c>
      <c r="N25" s="4" t="s">
        <v>200</v>
      </c>
      <c r="O25" s="4" t="s">
        <v>201</v>
      </c>
      <c r="P25" s="4" t="s">
        <v>193</v>
      </c>
      <c r="Q25" s="4" t="s">
        <v>3</v>
      </c>
      <c r="R25" s="4" t="s">
        <v>4</v>
      </c>
      <c r="S25" s="4" t="s">
        <v>25</v>
      </c>
      <c r="T25" s="4" t="s">
        <v>202</v>
      </c>
      <c r="U25" s="4"/>
      <c r="V25" s="4" t="s">
        <v>11</v>
      </c>
      <c r="W25" s="4" t="s">
        <v>194</v>
      </c>
      <c r="X25" s="4" t="s">
        <v>195</v>
      </c>
      <c r="Y25" s="4" t="s">
        <v>195</v>
      </c>
      <c r="Z25" s="4" t="s">
        <v>202</v>
      </c>
      <c r="AA25" s="4" t="s">
        <v>11</v>
      </c>
      <c r="AB25" s="4" t="s">
        <v>7</v>
      </c>
      <c r="AC25" s="4" t="s">
        <v>11</v>
      </c>
      <c r="AD25" s="4" t="s">
        <v>7</v>
      </c>
      <c r="AE25" s="4" t="s">
        <v>202</v>
      </c>
      <c r="AF25" s="4" t="s">
        <v>203</v>
      </c>
      <c r="AG25" s="4" t="s">
        <v>204</v>
      </c>
      <c r="AH25" s="4" t="s">
        <v>197</v>
      </c>
      <c r="AI25" s="4" t="s">
        <v>198</v>
      </c>
      <c r="AJ25" s="4" t="s">
        <v>16</v>
      </c>
      <c r="AK25" s="4"/>
    </row>
    <row r="26" spans="1:37" s="3" customFormat="1" x14ac:dyDescent="0.25">
      <c r="N26" s="4" t="s">
        <v>205</v>
      </c>
      <c r="O26" s="4" t="s">
        <v>206</v>
      </c>
      <c r="P26" s="4" t="s">
        <v>207</v>
      </c>
      <c r="Q26" s="4" t="s">
        <v>3</v>
      </c>
      <c r="R26" s="4" t="s">
        <v>4</v>
      </c>
      <c r="S26" s="4" t="s">
        <v>5</v>
      </c>
      <c r="T26" s="4" t="s">
        <v>208</v>
      </c>
      <c r="U26" s="4"/>
      <c r="V26" s="4" t="s">
        <v>7</v>
      </c>
      <c r="W26" s="4" t="s">
        <v>209</v>
      </c>
      <c r="X26" s="4" t="s">
        <v>210</v>
      </c>
      <c r="Y26" s="4" t="s">
        <v>210</v>
      </c>
      <c r="Z26" s="4" t="s">
        <v>211</v>
      </c>
      <c r="AA26" s="4" t="s">
        <v>11</v>
      </c>
      <c r="AB26" s="4" t="s">
        <v>7</v>
      </c>
      <c r="AC26" s="4" t="s">
        <v>11</v>
      </c>
      <c r="AD26" s="4" t="s">
        <v>7</v>
      </c>
      <c r="AE26" s="4" t="s">
        <v>211</v>
      </c>
      <c r="AF26" s="4" t="s">
        <v>212</v>
      </c>
      <c r="AG26" s="4" t="s">
        <v>212</v>
      </c>
      <c r="AH26" s="4" t="s">
        <v>213</v>
      </c>
      <c r="AI26" s="4" t="s">
        <v>214</v>
      </c>
      <c r="AJ26" s="4" t="s">
        <v>16</v>
      </c>
      <c r="AK26" s="4"/>
    </row>
    <row r="27" spans="1:37" s="3" customFormat="1" x14ac:dyDescent="0.25">
      <c r="A27" s="3" t="s">
        <v>17</v>
      </c>
      <c r="B27" s="5">
        <v>93.537000000000006</v>
      </c>
      <c r="C27" s="3" t="s">
        <v>18</v>
      </c>
      <c r="D27" s="6"/>
      <c r="E27" s="5">
        <v>0.03</v>
      </c>
      <c r="F27" s="3" t="s">
        <v>19</v>
      </c>
      <c r="G27" s="6"/>
      <c r="H27" s="5">
        <v>0</v>
      </c>
      <c r="I27" s="3" t="s">
        <v>18</v>
      </c>
      <c r="J27" s="6"/>
      <c r="K27" s="3" t="s">
        <v>20</v>
      </c>
      <c r="L27" s="7" t="s">
        <v>215</v>
      </c>
      <c r="M27" s="3" t="s">
        <v>22</v>
      </c>
      <c r="N27" s="4" t="s">
        <v>216</v>
      </c>
      <c r="O27" s="4" t="s">
        <v>217</v>
      </c>
      <c r="P27" s="4" t="s">
        <v>207</v>
      </c>
      <c r="Q27" s="4" t="s">
        <v>3</v>
      </c>
      <c r="R27" s="4" t="s">
        <v>4</v>
      </c>
      <c r="S27" s="4" t="s">
        <v>25</v>
      </c>
      <c r="T27" s="4" t="s">
        <v>218</v>
      </c>
      <c r="U27" s="4"/>
      <c r="V27" s="4" t="s">
        <v>11</v>
      </c>
      <c r="W27" s="4" t="s">
        <v>209</v>
      </c>
      <c r="X27" s="4" t="s">
        <v>210</v>
      </c>
      <c r="Y27" s="4" t="s">
        <v>210</v>
      </c>
      <c r="Z27" s="4" t="s">
        <v>218</v>
      </c>
      <c r="AA27" s="4" t="s">
        <v>11</v>
      </c>
      <c r="AB27" s="4" t="s">
        <v>7</v>
      </c>
      <c r="AC27" s="4" t="s">
        <v>11</v>
      </c>
      <c r="AD27" s="4" t="s">
        <v>7</v>
      </c>
      <c r="AE27" s="4" t="s">
        <v>218</v>
      </c>
      <c r="AF27" s="4" t="s">
        <v>219</v>
      </c>
      <c r="AG27" s="4" t="s">
        <v>220</v>
      </c>
      <c r="AH27" s="4" t="s">
        <v>213</v>
      </c>
      <c r="AI27" s="4" t="s">
        <v>214</v>
      </c>
      <c r="AJ27" s="4" t="s">
        <v>16</v>
      </c>
      <c r="AK27" s="4"/>
    </row>
  </sheetData>
  <conditionalFormatting sqref="B2:B27">
    <cfRule type="expression" dxfId="5" priority="1">
      <formula>INT($B2)=$B2</formula>
    </cfRule>
  </conditionalFormatting>
  <conditionalFormatting sqref="E2:E27">
    <cfRule type="expression" dxfId="4" priority="2">
      <formula>INT($E2)=$E2</formula>
    </cfRule>
  </conditionalFormatting>
  <conditionalFormatting sqref="H2:H27">
    <cfRule type="expression" dxfId="3" priority="3">
      <formula>INT($H2)=$H2</formula>
    </cfRule>
  </conditionalFormatting>
  <dataValidations count="1">
    <dataValidation type="list" allowBlank="1" showInputMessage="1" showErrorMessage="1" sqref="A3 A27 A25 A21:A22 A19 A16 A14 A12 A10 A8 A5:A6" xr:uid="{00000000-0002-0000-0000-000000000000}">
      <formula1>"Trade"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BC8C-0773-413E-A578-156DE60D37F2}">
  <dimension ref="A1:M38"/>
  <sheetViews>
    <sheetView tabSelected="1" topLeftCell="A3" workbookViewId="0">
      <selection activeCell="H39" sqref="H39"/>
    </sheetView>
  </sheetViews>
  <sheetFormatPr defaultRowHeight="15" x14ac:dyDescent="0.25"/>
  <cols>
    <col min="1" max="1" width="11.5703125" bestFit="1" customWidth="1"/>
    <col min="2" max="2" width="12.140625" bestFit="1" customWidth="1"/>
    <col min="4" max="4" width="11.140625" bestFit="1" customWidth="1"/>
    <col min="5" max="5" width="14.28515625" bestFit="1" customWidth="1"/>
    <col min="7" max="8" width="14.28515625" bestFit="1" customWidth="1"/>
    <col min="12" max="12" width="25.7109375" bestFit="1" customWidth="1"/>
  </cols>
  <sheetData>
    <row r="1" spans="1:13" x14ac:dyDescent="0.25">
      <c r="A1" s="8" t="s">
        <v>263</v>
      </c>
      <c r="B1" s="9">
        <v>0.10537870000000001</v>
      </c>
      <c r="C1" s="10" t="s">
        <v>18</v>
      </c>
      <c r="D1" s="11"/>
      <c r="E1" s="10"/>
      <c r="F1" s="10" t="s">
        <v>22</v>
      </c>
      <c r="G1" s="11"/>
      <c r="H1" s="10"/>
      <c r="I1" s="10" t="s">
        <v>22</v>
      </c>
      <c r="J1" s="11"/>
      <c r="K1" s="10" t="s">
        <v>20</v>
      </c>
      <c r="L1" s="12" t="s">
        <v>262</v>
      </c>
      <c r="M1" s="10" t="s">
        <v>260</v>
      </c>
    </row>
    <row r="2" spans="1:13" x14ac:dyDescent="0.25">
      <c r="A2" s="8" t="s">
        <v>263</v>
      </c>
      <c r="B2" s="9">
        <v>15.13093175</v>
      </c>
      <c r="C2" s="10" t="s">
        <v>18</v>
      </c>
      <c r="D2" s="11"/>
      <c r="E2" s="10"/>
      <c r="F2" s="10" t="s">
        <v>22</v>
      </c>
      <c r="G2" s="11"/>
      <c r="H2" s="10"/>
      <c r="I2" s="10" t="s">
        <v>22</v>
      </c>
      <c r="J2" s="11"/>
      <c r="K2" s="10" t="s">
        <v>20</v>
      </c>
      <c r="L2" s="12" t="s">
        <v>264</v>
      </c>
      <c r="M2" s="10" t="s">
        <v>260</v>
      </c>
    </row>
    <row r="3" spans="1:13" x14ac:dyDescent="0.25">
      <c r="A3" s="8" t="s">
        <v>263</v>
      </c>
      <c r="B3" s="9">
        <v>14.85952911</v>
      </c>
      <c r="C3" s="10" t="s">
        <v>18</v>
      </c>
      <c r="D3" s="11"/>
      <c r="E3" s="10"/>
      <c r="F3" s="10" t="s">
        <v>22</v>
      </c>
      <c r="G3" s="11"/>
      <c r="H3" s="10"/>
      <c r="I3" s="10" t="s">
        <v>22</v>
      </c>
      <c r="J3" s="11"/>
      <c r="K3" s="10" t="s">
        <v>20</v>
      </c>
      <c r="L3" s="12" t="s">
        <v>265</v>
      </c>
      <c r="M3" s="10" t="s">
        <v>260</v>
      </c>
    </row>
    <row r="4" spans="1:13" x14ac:dyDescent="0.25">
      <c r="A4" s="8" t="s">
        <v>263</v>
      </c>
      <c r="B4" s="9">
        <v>18.347281949999999</v>
      </c>
      <c r="C4" s="10" t="s">
        <v>18</v>
      </c>
      <c r="D4" s="11"/>
      <c r="E4" s="10"/>
      <c r="F4" s="10" t="s">
        <v>22</v>
      </c>
      <c r="G4" s="11"/>
      <c r="H4" s="10"/>
      <c r="I4" s="10" t="s">
        <v>22</v>
      </c>
      <c r="J4" s="11"/>
      <c r="K4" s="10" t="s">
        <v>20</v>
      </c>
      <c r="L4" s="12" t="s">
        <v>266</v>
      </c>
      <c r="M4" s="10" t="s">
        <v>260</v>
      </c>
    </row>
    <row r="5" spans="1:13" x14ac:dyDescent="0.25">
      <c r="A5" s="8" t="s">
        <v>263</v>
      </c>
      <c r="B5" s="9">
        <v>28.675926780000001</v>
      </c>
      <c r="C5" s="10" t="s">
        <v>18</v>
      </c>
      <c r="D5" s="11"/>
      <c r="E5" s="10"/>
      <c r="F5" s="10" t="s">
        <v>22</v>
      </c>
      <c r="G5" s="11"/>
      <c r="H5" s="10"/>
      <c r="I5" s="10" t="s">
        <v>22</v>
      </c>
      <c r="J5" s="11"/>
      <c r="K5" s="10" t="s">
        <v>20</v>
      </c>
      <c r="L5" s="12" t="s">
        <v>267</v>
      </c>
      <c r="M5" s="10" t="s">
        <v>260</v>
      </c>
    </row>
    <row r="6" spans="1:13" x14ac:dyDescent="0.25">
      <c r="A6" s="13" t="s">
        <v>263</v>
      </c>
      <c r="B6" s="14">
        <v>7.9729175899999998</v>
      </c>
      <c r="C6" s="15" t="s">
        <v>18</v>
      </c>
      <c r="D6" s="16"/>
      <c r="E6" s="15"/>
      <c r="F6" s="15" t="s">
        <v>22</v>
      </c>
      <c r="G6" s="16"/>
      <c r="H6" s="15"/>
      <c r="I6" s="15" t="s">
        <v>22</v>
      </c>
      <c r="J6" s="16"/>
      <c r="K6" s="15" t="s">
        <v>20</v>
      </c>
      <c r="L6" s="17" t="s">
        <v>268</v>
      </c>
      <c r="M6" s="15" t="s">
        <v>260</v>
      </c>
    </row>
    <row r="7" spans="1:13" x14ac:dyDescent="0.25">
      <c r="A7" s="13" t="s">
        <v>263</v>
      </c>
      <c r="B7" s="14">
        <v>7.8778663099999999</v>
      </c>
      <c r="C7" s="15" t="s">
        <v>18</v>
      </c>
      <c r="D7" s="16"/>
      <c r="E7" s="15"/>
      <c r="F7" s="15" t="s">
        <v>22</v>
      </c>
      <c r="G7" s="16"/>
      <c r="H7" s="15"/>
      <c r="I7" s="15" t="s">
        <v>22</v>
      </c>
      <c r="J7" s="16"/>
      <c r="K7" s="15" t="s">
        <v>20</v>
      </c>
      <c r="L7" s="17" t="s">
        <v>269</v>
      </c>
      <c r="M7" s="15" t="s">
        <v>260</v>
      </c>
    </row>
    <row r="8" spans="1:13" x14ac:dyDescent="0.25">
      <c r="A8" s="8" t="s">
        <v>263</v>
      </c>
      <c r="B8" s="9">
        <v>0.81366395000000002</v>
      </c>
      <c r="C8" s="10" t="s">
        <v>18</v>
      </c>
      <c r="D8" s="11"/>
      <c r="E8" s="10"/>
      <c r="F8" s="10" t="s">
        <v>22</v>
      </c>
      <c r="G8" s="11"/>
      <c r="H8" s="10"/>
      <c r="I8" s="10" t="s">
        <v>22</v>
      </c>
      <c r="J8" s="11"/>
      <c r="K8" s="10" t="s">
        <v>20</v>
      </c>
      <c r="L8" s="12" t="s">
        <v>270</v>
      </c>
      <c r="M8" s="10" t="s">
        <v>260</v>
      </c>
    </row>
    <row r="9" spans="1:13" x14ac:dyDescent="0.25">
      <c r="A9" s="13" t="s">
        <v>261</v>
      </c>
      <c r="B9" s="15"/>
      <c r="C9" s="15" t="s">
        <v>22</v>
      </c>
      <c r="D9" s="16"/>
      <c r="E9" s="14">
        <v>6.0973270000000003E-2</v>
      </c>
      <c r="F9" s="15" t="s">
        <v>18</v>
      </c>
      <c r="G9" s="16"/>
      <c r="H9" s="15"/>
      <c r="I9" s="15" t="s">
        <v>22</v>
      </c>
      <c r="J9" s="16"/>
      <c r="K9" s="15" t="s">
        <v>20</v>
      </c>
      <c r="L9" s="17" t="s">
        <v>259</v>
      </c>
      <c r="M9" s="15" t="s">
        <v>260</v>
      </c>
    </row>
    <row r="10" spans="1:13" x14ac:dyDescent="0.25">
      <c r="A10" s="8" t="s">
        <v>258</v>
      </c>
      <c r="B10" s="10"/>
      <c r="C10" s="10" t="s">
        <v>22</v>
      </c>
      <c r="D10" s="11"/>
      <c r="E10" s="9">
        <v>110.70811104000001</v>
      </c>
      <c r="F10" s="10" t="s">
        <v>18</v>
      </c>
      <c r="G10" s="11"/>
      <c r="H10" s="10"/>
      <c r="I10" s="10" t="s">
        <v>22</v>
      </c>
      <c r="J10" s="11"/>
      <c r="K10" s="10" t="s">
        <v>20</v>
      </c>
      <c r="L10" s="12" t="s">
        <v>259</v>
      </c>
      <c r="M10" s="10" t="s">
        <v>260</v>
      </c>
    </row>
    <row r="11" spans="1:13" x14ac:dyDescent="0.25">
      <c r="A11" s="13" t="s">
        <v>258</v>
      </c>
      <c r="B11" s="15"/>
      <c r="C11" s="15" t="s">
        <v>22</v>
      </c>
      <c r="D11" s="16"/>
      <c r="E11" s="14">
        <v>112.83788618</v>
      </c>
      <c r="F11" s="15" t="s">
        <v>18</v>
      </c>
      <c r="G11" s="16"/>
      <c r="H11" s="15"/>
      <c r="I11" s="15" t="s">
        <v>22</v>
      </c>
      <c r="J11" s="16"/>
      <c r="K11" s="15" t="s">
        <v>20</v>
      </c>
      <c r="L11" s="17" t="s">
        <v>262</v>
      </c>
      <c r="M11" s="15" t="s">
        <v>260</v>
      </c>
    </row>
    <row r="12" spans="1:13" x14ac:dyDescent="0.25">
      <c r="A12" s="13" t="s">
        <v>258</v>
      </c>
      <c r="B12" s="15"/>
      <c r="C12" s="15" t="s">
        <v>22</v>
      </c>
      <c r="D12" s="16"/>
      <c r="E12" s="14">
        <v>809.33625227000005</v>
      </c>
      <c r="F12" s="15" t="s">
        <v>18</v>
      </c>
      <c r="G12" s="16"/>
      <c r="H12" s="15"/>
      <c r="I12" s="15" t="s">
        <v>22</v>
      </c>
      <c r="J12" s="16"/>
      <c r="K12" s="15" t="s">
        <v>20</v>
      </c>
      <c r="L12" s="17" t="s">
        <v>264</v>
      </c>
      <c r="M12" s="15" t="s">
        <v>260</v>
      </c>
    </row>
    <row r="13" spans="1:13" x14ac:dyDescent="0.25">
      <c r="A13" s="13" t="s">
        <v>258</v>
      </c>
      <c r="B13" s="15"/>
      <c r="C13" s="15" t="s">
        <v>22</v>
      </c>
      <c r="D13" s="16"/>
      <c r="E13" s="14">
        <v>809.33625227000005</v>
      </c>
      <c r="F13" s="15" t="s">
        <v>18</v>
      </c>
      <c r="G13" s="16"/>
      <c r="H13" s="15"/>
      <c r="I13" s="15" t="s">
        <v>22</v>
      </c>
      <c r="J13" s="16"/>
      <c r="K13" s="15" t="s">
        <v>20</v>
      </c>
      <c r="L13" s="17" t="s">
        <v>265</v>
      </c>
      <c r="M13" s="15" t="s">
        <v>260</v>
      </c>
    </row>
    <row r="14" spans="1:13" x14ac:dyDescent="0.25">
      <c r="A14" s="13" t="s">
        <v>258</v>
      </c>
      <c r="B14" s="15"/>
      <c r="C14" s="15" t="s">
        <v>22</v>
      </c>
      <c r="D14" s="16"/>
      <c r="E14" s="14">
        <v>1027.8570403900001</v>
      </c>
      <c r="F14" s="15" t="s">
        <v>18</v>
      </c>
      <c r="G14" s="16"/>
      <c r="H14" s="15"/>
      <c r="I14" s="15" t="s">
        <v>22</v>
      </c>
      <c r="J14" s="16"/>
      <c r="K14" s="15" t="s">
        <v>20</v>
      </c>
      <c r="L14" s="17" t="s">
        <v>266</v>
      </c>
      <c r="M14" s="15" t="s">
        <v>260</v>
      </c>
    </row>
    <row r="15" spans="1:13" x14ac:dyDescent="0.25">
      <c r="A15" s="13" t="s">
        <v>258</v>
      </c>
      <c r="B15" s="15"/>
      <c r="C15" s="15" t="s">
        <v>22</v>
      </c>
      <c r="D15" s="16"/>
      <c r="E15" s="14">
        <v>1715.79285482</v>
      </c>
      <c r="F15" s="15" t="s">
        <v>18</v>
      </c>
      <c r="G15" s="16"/>
      <c r="H15" s="15"/>
      <c r="I15" s="15" t="s">
        <v>22</v>
      </c>
      <c r="J15" s="16"/>
      <c r="K15" s="15" t="s">
        <v>20</v>
      </c>
      <c r="L15" s="17" t="s">
        <v>267</v>
      </c>
      <c r="M15" s="15" t="s">
        <v>260</v>
      </c>
    </row>
    <row r="16" spans="1:13" x14ac:dyDescent="0.25">
      <c r="A16" s="8" t="s">
        <v>258</v>
      </c>
      <c r="B16" s="10"/>
      <c r="C16" s="10" t="s">
        <v>22</v>
      </c>
      <c r="D16" s="11"/>
      <c r="E16" s="9">
        <v>363.52990295000001</v>
      </c>
      <c r="F16" s="10" t="s">
        <v>18</v>
      </c>
      <c r="G16" s="11"/>
      <c r="H16" s="10"/>
      <c r="I16" s="10" t="s">
        <v>22</v>
      </c>
      <c r="J16" s="11"/>
      <c r="K16" s="10" t="s">
        <v>20</v>
      </c>
      <c r="L16" s="12" t="s">
        <v>268</v>
      </c>
      <c r="M16" s="10" t="s">
        <v>260</v>
      </c>
    </row>
    <row r="17" spans="1:13" x14ac:dyDescent="0.25">
      <c r="A17" s="8" t="s">
        <v>258</v>
      </c>
      <c r="B17" s="10"/>
      <c r="C17" s="10" t="s">
        <v>22</v>
      </c>
      <c r="D17" s="11"/>
      <c r="E17" s="9">
        <v>363.52990296000002</v>
      </c>
      <c r="F17" s="10" t="s">
        <v>18</v>
      </c>
      <c r="G17" s="11"/>
      <c r="H17" s="10"/>
      <c r="I17" s="10" t="s">
        <v>22</v>
      </c>
      <c r="J17" s="11"/>
      <c r="K17" s="10" t="s">
        <v>20</v>
      </c>
      <c r="L17" s="12" t="s">
        <v>269</v>
      </c>
      <c r="M17" s="10" t="s">
        <v>260</v>
      </c>
    </row>
    <row r="18" spans="1:13" x14ac:dyDescent="0.25">
      <c r="A18" s="13" t="s">
        <v>258</v>
      </c>
      <c r="B18" s="15"/>
      <c r="C18" s="15" t="s">
        <v>22</v>
      </c>
      <c r="D18" s="16"/>
      <c r="E18" s="14">
        <v>37.606541679999999</v>
      </c>
      <c r="F18" s="15" t="s">
        <v>18</v>
      </c>
      <c r="G18" s="16"/>
      <c r="H18" s="15"/>
      <c r="I18" s="15" t="s">
        <v>22</v>
      </c>
      <c r="J18" s="16"/>
      <c r="K18" s="15" t="s">
        <v>20</v>
      </c>
      <c r="L18" s="17" t="s">
        <v>270</v>
      </c>
      <c r="M18" s="15" t="s">
        <v>260</v>
      </c>
    </row>
    <row r="19" spans="1:13" x14ac:dyDescent="0.25">
      <c r="A19" s="13"/>
      <c r="B19" s="15"/>
      <c r="C19" s="15"/>
      <c r="D19" s="16"/>
      <c r="E19" s="14">
        <f>SUM(E9:E18)</f>
        <v>5350.5957178300005</v>
      </c>
      <c r="F19" s="15"/>
      <c r="G19" s="16"/>
      <c r="H19" s="15"/>
      <c r="I19" s="15"/>
      <c r="J19" s="16"/>
      <c r="K19" s="15"/>
      <c r="L19" s="17"/>
      <c r="M19" s="15"/>
    </row>
    <row r="20" spans="1:13" x14ac:dyDescent="0.25">
      <c r="A20" s="13"/>
      <c r="B20" s="14">
        <f>SUM(B1:B19)</f>
        <v>93.783496139999997</v>
      </c>
      <c r="C20" s="15"/>
      <c r="D20" s="16"/>
      <c r="E20" s="14"/>
      <c r="F20" s="15"/>
      <c r="G20" s="16"/>
      <c r="H20" s="15"/>
      <c r="I20" s="15"/>
      <c r="J20" s="16"/>
      <c r="K20" s="15"/>
      <c r="L20" s="17"/>
      <c r="M20" s="15"/>
    </row>
    <row r="21" spans="1:13" x14ac:dyDescent="0.25">
      <c r="A21" s="13"/>
      <c r="B21" s="15"/>
      <c r="C21" s="15"/>
      <c r="D21" s="16"/>
      <c r="E21" s="14"/>
      <c r="F21" s="15"/>
      <c r="G21" s="16"/>
      <c r="H21" s="15"/>
      <c r="I21" s="15"/>
      <c r="J21" s="16"/>
      <c r="K21" s="15"/>
      <c r="L21" s="17"/>
      <c r="M21" s="15"/>
    </row>
    <row r="22" spans="1:13" x14ac:dyDescent="0.25">
      <c r="A22" s="13" t="s">
        <v>17</v>
      </c>
      <c r="B22" s="14">
        <v>2.1999999999999999E-2</v>
      </c>
      <c r="C22" s="15" t="s">
        <v>19</v>
      </c>
      <c r="D22" s="16"/>
      <c r="E22" s="14">
        <v>55.77</v>
      </c>
      <c r="F22" s="15" t="s">
        <v>18</v>
      </c>
      <c r="G22" s="16"/>
      <c r="H22" s="14">
        <v>0</v>
      </c>
      <c r="I22" s="15" t="s">
        <v>18</v>
      </c>
      <c r="J22" s="16"/>
      <c r="K22" s="15" t="s">
        <v>20</v>
      </c>
      <c r="L22" s="17" t="s">
        <v>92</v>
      </c>
      <c r="M22" s="15" t="s">
        <v>22</v>
      </c>
    </row>
    <row r="23" spans="1:13" x14ac:dyDescent="0.25">
      <c r="A23" s="8" t="s">
        <v>17</v>
      </c>
      <c r="B23" s="9">
        <v>0.68</v>
      </c>
      <c r="C23" s="10" t="s">
        <v>19</v>
      </c>
      <c r="D23" s="11"/>
      <c r="E23" s="9">
        <v>1724.2760000000001</v>
      </c>
      <c r="F23" s="10" t="s">
        <v>18</v>
      </c>
      <c r="G23" s="11"/>
      <c r="H23" s="9">
        <v>0</v>
      </c>
      <c r="I23" s="10" t="s">
        <v>18</v>
      </c>
      <c r="J23" s="11"/>
      <c r="K23" s="10" t="s">
        <v>20</v>
      </c>
      <c r="L23" s="12" t="s">
        <v>75</v>
      </c>
      <c r="M23" s="10" t="s">
        <v>22</v>
      </c>
    </row>
    <row r="24" spans="1:13" x14ac:dyDescent="0.25">
      <c r="A24" s="13" t="s">
        <v>17</v>
      </c>
      <c r="B24" s="14">
        <v>1.4004000000000001</v>
      </c>
      <c r="C24" s="15" t="s">
        <v>19</v>
      </c>
      <c r="D24" s="16"/>
      <c r="E24" s="14">
        <v>3205.6556399999999</v>
      </c>
      <c r="F24" s="15" t="s">
        <v>18</v>
      </c>
      <c r="G24" s="16"/>
      <c r="H24" s="14">
        <v>0</v>
      </c>
      <c r="I24" s="15" t="s">
        <v>18</v>
      </c>
      <c r="J24" s="16"/>
      <c r="K24" s="15" t="s">
        <v>20</v>
      </c>
      <c r="L24" s="17" t="s">
        <v>35</v>
      </c>
      <c r="M24" s="15" t="s">
        <v>22</v>
      </c>
    </row>
    <row r="25" spans="1:13" x14ac:dyDescent="0.25">
      <c r="A25" s="13"/>
      <c r="B25" s="14"/>
      <c r="C25" s="15"/>
      <c r="D25" s="16"/>
      <c r="E25" s="14"/>
      <c r="F25" s="15"/>
      <c r="G25" s="16"/>
      <c r="H25" s="14"/>
      <c r="I25" s="15"/>
      <c r="J25" s="16"/>
      <c r="K25" s="15"/>
      <c r="L25" s="17"/>
      <c r="M25" s="15"/>
    </row>
    <row r="26" spans="1:13" x14ac:dyDescent="0.25">
      <c r="A26" s="13"/>
      <c r="B26" s="14"/>
      <c r="C26" s="15"/>
      <c r="D26" s="16"/>
      <c r="E26" s="14">
        <f>SUM(E22:E25)</f>
        <v>4985.7016400000002</v>
      </c>
      <c r="F26" s="15"/>
      <c r="G26" s="16"/>
      <c r="H26" s="14"/>
      <c r="I26" s="15"/>
      <c r="J26" s="16"/>
      <c r="K26" s="15"/>
      <c r="L26" s="17"/>
      <c r="M26" s="15"/>
    </row>
    <row r="27" spans="1:13" x14ac:dyDescent="0.25">
      <c r="A27" s="8" t="s">
        <v>17</v>
      </c>
      <c r="B27" s="9">
        <v>0.63439999999999996</v>
      </c>
      <c r="C27" s="10" t="s">
        <v>18</v>
      </c>
      <c r="D27" s="11"/>
      <c r="E27" s="9">
        <v>2.0000000000000001E-4</v>
      </c>
      <c r="F27" s="10" t="s">
        <v>19</v>
      </c>
      <c r="G27" s="11"/>
      <c r="H27" s="9">
        <v>0</v>
      </c>
      <c r="I27" s="10" t="s">
        <v>18</v>
      </c>
      <c r="J27" s="11"/>
      <c r="K27" s="10" t="s">
        <v>20</v>
      </c>
      <c r="L27" s="12" t="s">
        <v>129</v>
      </c>
      <c r="M27" s="10" t="s">
        <v>22</v>
      </c>
    </row>
    <row r="28" spans="1:13" x14ac:dyDescent="0.25">
      <c r="A28" s="13" t="s">
        <v>17</v>
      </c>
      <c r="B28" s="14">
        <v>93.537000000000006</v>
      </c>
      <c r="C28" s="15" t="s">
        <v>18</v>
      </c>
      <c r="D28" s="16"/>
      <c r="E28" s="14">
        <v>0.03</v>
      </c>
      <c r="F28" s="15" t="s">
        <v>19</v>
      </c>
      <c r="G28" s="16"/>
      <c r="H28" s="14">
        <v>0</v>
      </c>
      <c r="I28" s="15" t="s">
        <v>18</v>
      </c>
      <c r="J28" s="16"/>
      <c r="K28" s="15" t="s">
        <v>20</v>
      </c>
      <c r="L28" s="17" t="s">
        <v>215</v>
      </c>
      <c r="M28" s="15" t="s">
        <v>22</v>
      </c>
    </row>
    <row r="29" spans="1:13" x14ac:dyDescent="0.25">
      <c r="A29" s="13" t="s">
        <v>17</v>
      </c>
      <c r="B29" s="14">
        <v>903.98800000000006</v>
      </c>
      <c r="C29" s="15" t="s">
        <v>18</v>
      </c>
      <c r="D29" s="16"/>
      <c r="E29" s="14">
        <v>0.28999999999999998</v>
      </c>
      <c r="F29" s="15" t="s">
        <v>19</v>
      </c>
      <c r="G29" s="16"/>
      <c r="H29" s="14">
        <v>0</v>
      </c>
      <c r="I29" s="15" t="s">
        <v>18</v>
      </c>
      <c r="J29" s="16"/>
      <c r="K29" s="15" t="s">
        <v>20</v>
      </c>
      <c r="L29" s="17" t="s">
        <v>175</v>
      </c>
      <c r="M29" s="15" t="s">
        <v>22</v>
      </c>
    </row>
    <row r="30" spans="1:13" x14ac:dyDescent="0.25">
      <c r="A30" s="8" t="s">
        <v>17</v>
      </c>
      <c r="B30" s="9">
        <v>904.01700000000005</v>
      </c>
      <c r="C30" s="10" t="s">
        <v>18</v>
      </c>
      <c r="D30" s="11"/>
      <c r="E30" s="9">
        <v>0.28999999999999998</v>
      </c>
      <c r="F30" s="10" t="s">
        <v>19</v>
      </c>
      <c r="G30" s="11"/>
      <c r="H30" s="9">
        <v>0</v>
      </c>
      <c r="I30" s="10" t="s">
        <v>18</v>
      </c>
      <c r="J30" s="11"/>
      <c r="K30" s="10" t="s">
        <v>20</v>
      </c>
      <c r="L30" s="12" t="s">
        <v>199</v>
      </c>
      <c r="M30" s="10" t="s">
        <v>22</v>
      </c>
    </row>
    <row r="31" spans="1:13" x14ac:dyDescent="0.25">
      <c r="A31" s="13" t="s">
        <v>17</v>
      </c>
      <c r="B31" s="14">
        <v>999.40463999999997</v>
      </c>
      <c r="C31" s="15" t="s">
        <v>18</v>
      </c>
      <c r="D31" s="16"/>
      <c r="E31" s="14">
        <v>0.31519999999999998</v>
      </c>
      <c r="F31" s="15" t="s">
        <v>19</v>
      </c>
      <c r="G31" s="16"/>
      <c r="H31" s="14">
        <v>0</v>
      </c>
      <c r="I31" s="15" t="s">
        <v>18</v>
      </c>
      <c r="J31" s="16"/>
      <c r="K31" s="15" t="s">
        <v>20</v>
      </c>
      <c r="L31" s="17" t="s">
        <v>153</v>
      </c>
      <c r="M31" s="15" t="s">
        <v>22</v>
      </c>
    </row>
    <row r="32" spans="1:13" x14ac:dyDescent="0.25">
      <c r="A32" s="8" t="s">
        <v>17</v>
      </c>
      <c r="B32" s="9">
        <v>1000.1208</v>
      </c>
      <c r="C32" s="10" t="s">
        <v>18</v>
      </c>
      <c r="D32" s="11"/>
      <c r="E32" s="9">
        <v>0.30270000000000002</v>
      </c>
      <c r="F32" s="10" t="s">
        <v>19</v>
      </c>
      <c r="G32" s="11"/>
      <c r="H32" s="9">
        <v>0</v>
      </c>
      <c r="I32" s="10" t="s">
        <v>18</v>
      </c>
      <c r="J32" s="11"/>
      <c r="K32" s="10" t="s">
        <v>20</v>
      </c>
      <c r="L32" s="12" t="s">
        <v>169</v>
      </c>
      <c r="M32" s="10" t="s">
        <v>22</v>
      </c>
    </row>
    <row r="33" spans="1:13" x14ac:dyDescent="0.25">
      <c r="A33" s="13" t="s">
        <v>17</v>
      </c>
      <c r="B33" s="14">
        <v>1000.15201</v>
      </c>
      <c r="C33" s="15" t="s">
        <v>18</v>
      </c>
      <c r="D33" s="16"/>
      <c r="E33" s="14">
        <v>0.32890000000000003</v>
      </c>
      <c r="F33" s="15" t="s">
        <v>19</v>
      </c>
      <c r="G33" s="16"/>
      <c r="H33" s="14">
        <v>0</v>
      </c>
      <c r="I33" s="15" t="s">
        <v>18</v>
      </c>
      <c r="J33" s="16"/>
      <c r="K33" s="15" t="s">
        <v>20</v>
      </c>
      <c r="L33" s="17" t="s">
        <v>109</v>
      </c>
      <c r="M33" s="15" t="s">
        <v>22</v>
      </c>
    </row>
    <row r="34" spans="1:13" x14ac:dyDescent="0.25">
      <c r="A34" s="8" t="s">
        <v>17</v>
      </c>
      <c r="B34" s="9">
        <v>1434.768</v>
      </c>
      <c r="C34" s="10" t="s">
        <v>18</v>
      </c>
      <c r="D34" s="11"/>
      <c r="E34" s="9">
        <v>0.56799999999999995</v>
      </c>
      <c r="F34" s="10" t="s">
        <v>19</v>
      </c>
      <c r="G34" s="11"/>
      <c r="H34" s="9">
        <v>0</v>
      </c>
      <c r="I34" s="10" t="s">
        <v>18</v>
      </c>
      <c r="J34" s="11"/>
      <c r="K34" s="10" t="s">
        <v>20</v>
      </c>
      <c r="L34" s="12" t="s">
        <v>41</v>
      </c>
      <c r="M34" s="10" t="s">
        <v>22</v>
      </c>
    </row>
    <row r="35" spans="1:13" x14ac:dyDescent="0.25">
      <c r="A35" s="13" t="s">
        <v>17</v>
      </c>
      <c r="B35" s="14">
        <v>1847.922</v>
      </c>
      <c r="C35" s="15" t="s">
        <v>18</v>
      </c>
      <c r="D35" s="16"/>
      <c r="E35" s="14">
        <v>0.73</v>
      </c>
      <c r="F35" s="15" t="s">
        <v>19</v>
      </c>
      <c r="G35" s="16"/>
      <c r="H35" s="14">
        <v>0</v>
      </c>
      <c r="I35" s="15" t="s">
        <v>18</v>
      </c>
      <c r="J35" s="16"/>
      <c r="K35" s="15" t="s">
        <v>20</v>
      </c>
      <c r="L35" s="17" t="s">
        <v>58</v>
      </c>
      <c r="M35" s="15" t="s">
        <v>22</v>
      </c>
    </row>
    <row r="36" spans="1:13" x14ac:dyDescent="0.25">
      <c r="A36" s="8" t="s">
        <v>17</v>
      </c>
      <c r="B36" s="9">
        <v>3353.2577999999999</v>
      </c>
      <c r="C36" s="10" t="s">
        <v>18</v>
      </c>
      <c r="D36" s="11"/>
      <c r="E36" s="9">
        <v>1.4004000000000001</v>
      </c>
      <c r="F36" s="10" t="s">
        <v>19</v>
      </c>
      <c r="G36" s="11"/>
      <c r="H36" s="9">
        <v>0</v>
      </c>
      <c r="I36" s="10" t="s">
        <v>18</v>
      </c>
      <c r="J36" s="11"/>
      <c r="K36" s="10" t="s">
        <v>20</v>
      </c>
      <c r="L36" s="12" t="s">
        <v>21</v>
      </c>
      <c r="M36" s="10" t="s">
        <v>22</v>
      </c>
    </row>
    <row r="37" spans="1:13" x14ac:dyDescent="0.25">
      <c r="B37" s="18">
        <f>SUM(B27:B36)</f>
        <v>11537.801649999999</v>
      </c>
    </row>
    <row r="38" spans="1:13" x14ac:dyDescent="0.25">
      <c r="D38" s="19">
        <f>+B37-E26</f>
        <v>6552.1000099999992</v>
      </c>
      <c r="G38" s="20">
        <f>+E19-B20</f>
        <v>5256.8122216900001</v>
      </c>
      <c r="H38" s="20">
        <f>+D38-G38</f>
        <v>1295.2877883099991</v>
      </c>
    </row>
  </sheetData>
  <sortState xmlns:xlrd2="http://schemas.microsoft.com/office/spreadsheetml/2017/richdata2" ref="A22:M36">
    <sortCondition ref="C22:C36"/>
  </sortState>
  <conditionalFormatting sqref="B1:B36">
    <cfRule type="expression" dxfId="2" priority="1">
      <formula>INT($B1)=$B1</formula>
    </cfRule>
  </conditionalFormatting>
  <conditionalFormatting sqref="E1:E36">
    <cfRule type="expression" dxfId="1" priority="2">
      <formula>INT($E1)=$E1</formula>
    </cfRule>
  </conditionalFormatting>
  <conditionalFormatting sqref="H1:H36">
    <cfRule type="expression" dxfId="0" priority="3">
      <formula>INT($H1)=$H1</formula>
    </cfRule>
  </conditionalFormatting>
  <dataValidations count="3">
    <dataValidation type="list" allowBlank="1" showInputMessage="1" showErrorMessage="1" sqref="A7 A35 A32 A30 A27 A23 A18:A21 A16" xr:uid="{076029B5-3471-4263-8E61-618E74355E2C}">
      <formula1>"Deposit,Mining,Staking,Interest,Dividend,Income,Gift-Received,Fork,Airdrop,Referral,Cashback,Fee-Rebate,Loan,Margin-Gain,Trade"</formula1>
    </dataValidation>
    <dataValidation type="list" allowBlank="1" showInputMessage="1" showErrorMessage="1" sqref="A34 A31 A29 A24:A26 A22 A17 A15 A6 A3:A4" xr:uid="{24789716-EAEC-4134-9EAB-3D1353367B8B}">
      <formula1>"Withdrawal,Spend,Gift-Sent,Gift-Spouse,Charity-Sent,Lost,Loan-Repayment,Loan-Interest,Margin-Loss,Margin-Fee,Trade"</formula1>
    </dataValidation>
    <dataValidation type="list" allowBlank="1" showInputMessage="1" showErrorMessage="1" sqref="A36 A33 A28 A14 A12:A13 A11 A8:A10 A5 A1:A2" xr:uid="{EDA40C7C-FABC-4224-B708-391202469D93}">
      <formula1>"Trade"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Deribit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BittyTax Records</dc:title>
  <dc:creator>bittytax_conv.py v0.5.3.dev20</dc:creator>
  <dc:description>https://github.com/BittyTax/BittyTax</dc:description>
  <cp:lastModifiedBy>Anthony Garner</cp:lastModifiedBy>
  <dcterms:created xsi:type="dcterms:W3CDTF">2024-12-11T10:04:43Z</dcterms:created>
  <dcterms:modified xsi:type="dcterms:W3CDTF">2024-12-18T14:48:35Z</dcterms:modified>
</cp:coreProperties>
</file>